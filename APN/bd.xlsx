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gracion\APN\"/>
    </mc:Choice>
  </mc:AlternateContent>
  <xr:revisionPtr revIDLastSave="0" documentId="13_ncr:1_{957F9100-7373-4A94-8A17-323F94723020}" xr6:coauthVersionLast="47" xr6:coauthVersionMax="47" xr10:uidLastSave="{00000000-0000-0000-0000-000000000000}"/>
  <bookViews>
    <workbookView xWindow="-108" yWindow="-108" windowWidth="23256" windowHeight="12576" xr2:uid="{7EB1B58F-3219-481F-8080-EEA5E7670FFA}"/>
  </bookViews>
  <sheets>
    <sheet name="Enterprise-Plans-Product-APN" sheetId="2" r:id="rId1"/>
    <sheet name="Rule Engine" sheetId="4" r:id="rId2"/>
    <sheet name="Hoja1" sheetId="5" state="hidden" r:id="rId3"/>
  </sheets>
  <definedNames>
    <definedName name="_xlnm._FilterDatabase" localSheetId="0" hidden="1">'Enterprise-Plans-Product-APN'!$A$2:$K$107</definedName>
    <definedName name="_xlnm._FilterDatabase" localSheetId="2" hidden="1">Hoja1!$A$1:$C$104</definedName>
    <definedName name="_xlnm._FilterDatabase" localSheetId="1" hidden="1">'Rule Engine'!$B$1:$I$114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6" i="2"/>
  <c r="D1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6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Blanco</author>
  </authors>
  <commentList>
    <comment ref="H10" authorId="0" shapeId="0" xr:uid="{7453E51F-B04C-4D05-AB57-4F6C225912A5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12" authorId="0" shapeId="0" xr:uid="{C81173C5-24B8-4D18-9ED8-0F2E0852F051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13" authorId="0" shapeId="0" xr:uid="{299C44DB-3FBD-429D-B0E6-96F34E95B8D7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15" authorId="0" shapeId="0" xr:uid="{8BAD045F-7518-4E91-802D-321286203D8F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19" authorId="0" shapeId="0" xr:uid="{B1D2C77F-CDE8-44E5-99D1-09879A690920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24" authorId="0" shapeId="0" xr:uid="{9BF07A19-5429-4AE5-8992-DF9F80A6B526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I30" authorId="0" shapeId="0" xr:uid="{7AF94997-10CF-42F5-8023-2EB68B98EC36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El APN no estaría en uso.</t>
        </r>
      </text>
    </comment>
    <comment ref="H35" authorId="0" shapeId="0" xr:uid="{D1FA0B94-003C-4C97-A841-7611C1070983}">
      <text>
        <r>
          <rPr>
            <b/>
            <sz val="9"/>
            <color indexed="81"/>
            <rFont val="Tahoma"/>
            <family val="2"/>
          </rPr>
          <t>Christian Blanco:</t>
        </r>
        <r>
          <rPr>
            <sz val="9"/>
            <color indexed="81"/>
            <rFont val="Tahoma"/>
            <family val="2"/>
          </rPr>
          <t xml:space="preserve">
Ver si el APN tiene IP fija, dinámica o ambas!!!!!!!</t>
        </r>
      </text>
    </comment>
    <comment ref="J35" authorId="0" shapeId="0" xr:uid="{89E34676-0321-40FC-B5BC-386AF45FC2A1}">
      <text>
        <r>
          <rPr>
            <b/>
            <sz val="9"/>
            <color indexed="81"/>
            <rFont val="Tahoma"/>
            <family val="2"/>
          </rPr>
          <t>Christian Blanco:</t>
        </r>
        <r>
          <rPr>
            <sz val="9"/>
            <color indexed="81"/>
            <rFont val="Tahoma"/>
            <family val="2"/>
          </rPr>
          <t xml:space="preserve">
Ver si el APN tiene IP fija, dinámica o ambas!!!!!!!</t>
        </r>
      </text>
    </comment>
    <comment ref="H45" authorId="0" shapeId="0" xr:uid="{80E9BBCE-1D28-4E20-87D2-47BCF59DD8DE}">
      <text>
        <r>
          <rPr>
            <b/>
            <sz val="9"/>
            <color indexed="81"/>
            <rFont val="Tahoma"/>
            <family val="2"/>
          </rPr>
          <t>Christian Blanco:</t>
        </r>
        <r>
          <rPr>
            <sz val="9"/>
            <color indexed="81"/>
            <rFont val="Tahoma"/>
            <family val="2"/>
          </rPr>
          <t xml:space="preserve">
Comparte el APN con el cliente GEOTEC MOBILE SRL</t>
        </r>
      </text>
    </comment>
    <comment ref="H63" authorId="0" shapeId="0" xr:uid="{3E3BFFFB-3265-4348-B8D1-EA3734579017}">
      <text>
        <r>
          <rPr>
            <b/>
            <sz val="9"/>
            <color indexed="81"/>
            <rFont val="Tahoma"/>
            <family val="2"/>
          </rPr>
          <t>Christian Blanco:</t>
        </r>
        <r>
          <rPr>
            <sz val="9"/>
            <color indexed="81"/>
            <rFont val="Tahoma"/>
            <family val="2"/>
          </rPr>
          <t xml:space="preserve">
Usa el mismo APN que el cliente "MARINO JOSE FRANCISCO PREZ PEDRO EMANUEL".</t>
        </r>
      </text>
    </comment>
    <comment ref="H64" authorId="0" shapeId="0" xr:uid="{40C616F9-C0F6-4AAC-B7CE-2908280707B9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67" authorId="0" shapeId="0" xr:uid="{52861AC8-9B37-4861-9155-56BFE27FB7B9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I70" authorId="0" shapeId="0" xr:uid="{D5E189AC-8097-49AD-BAD6-3F85C763890D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80" authorId="0" shapeId="0" xr:uid="{779943A3-7A34-4D04-8514-2D98CD85BBB5}">
      <text>
        <r>
          <rPr>
            <b/>
            <sz val="9"/>
            <color indexed="81"/>
            <rFont val="Tahoma"/>
            <family val="2"/>
          </rPr>
          <t>Christian Blanco:</t>
        </r>
        <r>
          <rPr>
            <sz val="9"/>
            <color indexed="81"/>
            <rFont val="Tahoma"/>
            <family val="2"/>
          </rPr>
          <t xml:space="preserve">
Usa mismo APN que el cliente "JON SEGURIDAD Y SISTEMAS SRL".</t>
        </r>
      </text>
    </comment>
    <comment ref="H86" authorId="0" shapeId="0" xr:uid="{4746F4B8-57EF-4931-8F5B-5E15CA876EC0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87" authorId="0" shapeId="0" xr:uid="{EEAD725F-04C5-4C91-A034-D1975F983E93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88" authorId="0" shapeId="0" xr:uid="{583FFB07-FE15-49FC-BCCD-D0E477EE8E49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90" authorId="0" shapeId="0" xr:uid="{1F8A0225-EB87-4E9F-8D13-D85005EFE833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94" authorId="0" shapeId="0" xr:uid="{FC34B54A-CF0F-493A-95E1-181F2B210901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  <comment ref="H106" authorId="0" shapeId="0" xr:uid="{8121742E-62F1-4FEE-87CE-26FB371A6F33}">
      <text>
        <r>
          <rPr>
            <b/>
            <sz val="9"/>
            <color indexed="81"/>
            <rFont val="Tahoma"/>
            <charset val="1"/>
          </rPr>
          <t>Christian Blanco:</t>
        </r>
        <r>
          <rPr>
            <sz val="9"/>
            <color indexed="81"/>
            <rFont val="Tahoma"/>
            <charset val="1"/>
          </rPr>
          <t xml:space="preserve">
Este APN no existe en la red</t>
        </r>
      </text>
    </comment>
  </commentList>
</comments>
</file>

<file path=xl/sharedStrings.xml><?xml version="1.0" encoding="utf-8"?>
<sst xmlns="http://schemas.openxmlformats.org/spreadsheetml/2006/main" count="1951" uniqueCount="728">
  <si>
    <t>#</t>
  </si>
  <si>
    <t>APN #1</t>
  </si>
  <si>
    <t>APN #2</t>
  </si>
  <si>
    <t>APN #3</t>
  </si>
  <si>
    <t>SIM 2G/3G</t>
  </si>
  <si>
    <t>SIM LTE</t>
  </si>
  <si>
    <t>SIM CLARO</t>
  </si>
  <si>
    <t>24HS SA</t>
  </si>
  <si>
    <t>Active</t>
  </si>
  <si>
    <t>Yes</t>
  </si>
  <si>
    <t>No</t>
  </si>
  <si>
    <t>---</t>
  </si>
  <si>
    <t>m2m.amx</t>
  </si>
  <si>
    <t>24HS.M2M.CLARO.COM.AR</t>
  </si>
  <si>
    <t>ACRONEX S.R.L.</t>
  </si>
  <si>
    <t>SLABOCH.G.CLARO.COM.AR</t>
  </si>
  <si>
    <t>A.C. SAT SRL</t>
  </si>
  <si>
    <t>ACSAT.M2M.CLARO.COM.AR</t>
  </si>
  <si>
    <t>AGUAS CORDOBESAS SA</t>
  </si>
  <si>
    <t>aysa.m2m.claro.com.ar</t>
  </si>
  <si>
    <t>ALAR SUR SRL</t>
  </si>
  <si>
    <t>ALARSUR.M2M.CLARO.COM.AR</t>
  </si>
  <si>
    <t>Albiero Hnos SRL</t>
  </si>
  <si>
    <t>albiero.claro.com.ar</t>
  </si>
  <si>
    <t>clarom2m.com</t>
  </si>
  <si>
    <t>AXAN S.A.</t>
  </si>
  <si>
    <t>ALESAT.M2M.CLARO.COM.AR</t>
  </si>
  <si>
    <t>BANCO DE LA PROVINCIA DE BS AS</t>
  </si>
  <si>
    <t>BAUMBACH BRIAN LEANDRO</t>
  </si>
  <si>
    <t>BIT S.A.</t>
  </si>
  <si>
    <t>bitsa.claro.com.ar</t>
  </si>
  <si>
    <t>BOBADILLA ALEJANDRO CESAR</t>
  </si>
  <si>
    <t>BUGS SOLUCIONES ELECT SA</t>
  </si>
  <si>
    <t>CENTRAL DE OP. MULTIPLES SRL</t>
  </si>
  <si>
    <t>CENTRALSRL.M2M.CLARO.COM.AR</t>
  </si>
  <si>
    <t>AKMICRACEL.M2M.CLARO.COM.AR</t>
  </si>
  <si>
    <t>COMPAÑIA OMNIBUS 25 DE MAYO LINEA 278 SA</t>
  </si>
  <si>
    <t>COVEMA.M2M.CLARO.COM.AR</t>
  </si>
  <si>
    <t>COM SEG ARGENTINA S.A.S.</t>
  </si>
  <si>
    <t>COMUNIDAT SAS</t>
  </si>
  <si>
    <t>apncdt01.m2m.claro.com.ar</t>
  </si>
  <si>
    <t>CROSS SRL</t>
  </si>
  <si>
    <t>GCROSS.M2M.CLARO.COM.AR</t>
  </si>
  <si>
    <t>DEPARTAMENTO GRAL IRRIGACION</t>
  </si>
  <si>
    <t>irrigacion.m2m.claro.com.ar</t>
  </si>
  <si>
    <t>DLITORALSA.M2M.CLARO.COM.AR</t>
  </si>
  <si>
    <t>DI BELLA, LUCAS GASTON</t>
  </si>
  <si>
    <t>DISCAR S.A.</t>
  </si>
  <si>
    <t>DISCAR.M2M.CLARO.COM.AR</t>
  </si>
  <si>
    <t>ECOHABITAT S.A Y OTRA UNION TRANSITORIA</t>
  </si>
  <si>
    <t>ECOHAB.M2M.CLARO.COM.AR</t>
  </si>
  <si>
    <t>edenor.m2m.claro.com.ar</t>
  </si>
  <si>
    <t>EDENRED ARGENTINA SOCIEDAD ANONIMA</t>
  </si>
  <si>
    <t>EDENRED2.M2M.CLARO.COM.AR</t>
  </si>
  <si>
    <t>EDESA S.A.</t>
  </si>
  <si>
    <t>edesamedidores.m2m.claro.com.ar</t>
  </si>
  <si>
    <t>EDES SA</t>
  </si>
  <si>
    <t>edesmedclaro.m2m.claro.com.ar</t>
  </si>
  <si>
    <t>edestelclaro.m2m.claro.com.ar</t>
  </si>
  <si>
    <t>EDESUR</t>
  </si>
  <si>
    <t>EDESURMEDIDORES.M2M.CLARO.COM.AR</t>
  </si>
  <si>
    <t>EDESUR.M2M.CLARO.COM.AR</t>
  </si>
  <si>
    <t>ELECTRO.M2M.CLARO.COM.AR</t>
  </si>
  <si>
    <t>EMP. PCIAL. DE ENERGIA STA.FE</t>
  </si>
  <si>
    <t>EPESFE.M2M.CLARO.COM.AR</t>
  </si>
  <si>
    <t>EMPRENDIMIENTOS MOVILES SRL</t>
  </si>
  <si>
    <t>PHONE.M2M.CLARO.COM.AR</t>
  </si>
  <si>
    <t>EMPRESA DISTRIBUIDORA DE ENERG</t>
  </si>
  <si>
    <t>EDEN.M2M.CLARO.COM.AR</t>
  </si>
  <si>
    <t>EMPRESA DISTRIBUIDORA DEENERGIA ATLANTIC</t>
  </si>
  <si>
    <t>scada.m2m.claro.com.ar</t>
  </si>
  <si>
    <t>medidor.m2m.claro.com.ar</t>
  </si>
  <si>
    <t>EDELAP.M2M.CLARO.COM.AR</t>
  </si>
  <si>
    <t>epec.m2m.claro.com.ar</t>
  </si>
  <si>
    <t>ENTE PROVINCIAL DE ENERGI DE N</t>
  </si>
  <si>
    <t>epen.m2m.claro.com.ar</t>
  </si>
  <si>
    <t>EYCON S.A.</t>
  </si>
  <si>
    <t>E Y S E EUIPOS Y SISTEMAS ELEC</t>
  </si>
  <si>
    <t>eysem2m.claro.com.ar</t>
  </si>
  <si>
    <t>GASNOR SA</t>
  </si>
  <si>
    <t>GASNOR.M2M.CLARO.COM.AR</t>
  </si>
  <si>
    <t>GCBA</t>
  </si>
  <si>
    <t>gcba.m2m.claro.com.ar</t>
  </si>
  <si>
    <t>GTCS.m2m.claro.com.ar</t>
  </si>
  <si>
    <t>GESTION ELECTRONICA Y COMERCIALIZACION S</t>
  </si>
  <si>
    <t>ACG.M2M.CLARO.COM.AR</t>
  </si>
  <si>
    <t>GRUPOMARGEN.M2M.CLARO.COM.AR</t>
  </si>
  <si>
    <t>GTCS S.A.</t>
  </si>
  <si>
    <t>IDEC GPS SA</t>
  </si>
  <si>
    <t>IDECGPS.M2M.CLARO.COM.AR</t>
  </si>
  <si>
    <t>ILUMINATION S.A</t>
  </si>
  <si>
    <t>driveup.m2m.claro.com.ar</t>
  </si>
  <si>
    <t>INFOTRAK SRL</t>
  </si>
  <si>
    <t>INFOTRAK.M2M.CLARO.COM.AR</t>
  </si>
  <si>
    <t>INTEGRAL INSUMOS S C</t>
  </si>
  <si>
    <t>IP SECURITY SA</t>
  </si>
  <si>
    <t>IPSECURITY.m2m.claro.com.ar</t>
  </si>
  <si>
    <t>IT SOLUCIONES SRL</t>
  </si>
  <si>
    <t>ITSOLUCIONES.m2m.claro.com.ar</t>
  </si>
  <si>
    <t>JON.M2M.CLARO.COM.AR</t>
  </si>
  <si>
    <t>Logdcn.claro.com.ar</t>
  </si>
  <si>
    <t>LOGSAT S.A</t>
  </si>
  <si>
    <t>logsat.claro.com.ar</t>
  </si>
  <si>
    <t>MARINOZZI ARMANDO RAUL</t>
  </si>
  <si>
    <t>MARINOZZI.CLARO.COM.AR</t>
  </si>
  <si>
    <t>MASTER BUS S.A.</t>
  </si>
  <si>
    <t>MAURE GUILLERMO</t>
  </si>
  <si>
    <t>MEGATRANS S.A.</t>
  </si>
  <si>
    <t>MEGATRANS.M2M.CLARO.COM.AR</t>
  </si>
  <si>
    <t>MELLANO DAMIAN</t>
  </si>
  <si>
    <t>MERCADO LIBRE S.R.L.</t>
  </si>
  <si>
    <t>MICRACEL S.A.</t>
  </si>
  <si>
    <t>MINIS DE SEG DE LA PROV DE CORRIENTES</t>
  </si>
  <si>
    <t>msctes.m2m.claro.com.ar</t>
  </si>
  <si>
    <t>MONTES DIEGO SALVADOR</t>
  </si>
  <si>
    <t>MULTEO SRL</t>
  </si>
  <si>
    <t>multeo.m2m.claro.com.ar</t>
  </si>
  <si>
    <t>MUNICIPALIDAD DE ROSARIO</t>
  </si>
  <si>
    <t>Nación Servicio Posnet</t>
  </si>
  <si>
    <t>NACION SERVICIOS SA</t>
  </si>
  <si>
    <t>NACIONSERV.M2M.CLARO.COM.AR</t>
  </si>
  <si>
    <t>Nacion Servicios – Solución Especial LTE</t>
  </si>
  <si>
    <t>NOVIT S.A.</t>
  </si>
  <si>
    <t>novitsa.m2m.claro.com.ar</t>
  </si>
  <si>
    <t>N.T.B.SA</t>
  </si>
  <si>
    <t>ntbm2m.claro.com.ar</t>
  </si>
  <si>
    <t>OLEIROS SA</t>
  </si>
  <si>
    <t>OLEIROS.M2M.CLARO.COM.AR</t>
  </si>
  <si>
    <t>ORMACHEA CARLOS EZEQUIEL</t>
  </si>
  <si>
    <t>ORMACHEAM2M.CLARO.COM.AR</t>
  </si>
  <si>
    <t>PAGO VIRTUAL DEL SUR S.A</t>
  </si>
  <si>
    <t>AXION.CLARO.COM.AR</t>
  </si>
  <si>
    <t>PROSEGUR ACTIVA ARGENTINA SA</t>
  </si>
  <si>
    <t>Prosegur.m2m.claro.com.ar</t>
  </si>
  <si>
    <t>PruebasIng</t>
  </si>
  <si>
    <t>QUADMINDS TECHNOLOGIES S.A.</t>
  </si>
  <si>
    <t>QMT.CLARO.COM.AR</t>
  </si>
  <si>
    <t>QUALITY SYSTEMS GROUP SRL</t>
  </si>
  <si>
    <t>RED SECURITY SRL</t>
  </si>
  <si>
    <t>RIESGONET S.A</t>
  </si>
  <si>
    <t>rnetm2m.claro.com.ar</t>
  </si>
  <si>
    <t>R-LINK SA</t>
  </si>
  <si>
    <t>RLINK.M2M.CLARO.COM.AR</t>
  </si>
  <si>
    <t>RODRIGUEZ GUERRERO JUAN MANUEL</t>
  </si>
  <si>
    <t>ROSARIO BUS SA</t>
  </si>
  <si>
    <t>RBUS.M2M.CLARO.COM.AR</t>
  </si>
  <si>
    <t>SEAC S.A.</t>
  </si>
  <si>
    <t>seac.m2m.claro.com.ar</t>
  </si>
  <si>
    <t>SECURE S.A.S.</t>
  </si>
  <si>
    <t>controlsat.m2m.claro.com.ar</t>
  </si>
  <si>
    <t>SECURITY CONSULTANT S.A.</t>
  </si>
  <si>
    <t>sconsult1.claro.com.ar</t>
  </si>
  <si>
    <t>SEGUIMIENTO SATELITAL S.A.S.</t>
  </si>
  <si>
    <t>warrior.m2m.claro.com.ar</t>
  </si>
  <si>
    <t>SEGURIDAD PRIVADA KEEPER SRL</t>
  </si>
  <si>
    <t>SEGURIDAD PRIVADA SP S.A.</t>
  </si>
  <si>
    <t>SEÑALCO SUDAMERICANA S.A.</t>
  </si>
  <si>
    <t>senalcom2m.claro.com.ar</t>
  </si>
  <si>
    <t>SERVICIOS Y SEGURIDAD</t>
  </si>
  <si>
    <t>SERVINTWEB SRL</t>
  </si>
  <si>
    <t>ecarga2.m2m.claro.com.ar</t>
  </si>
  <si>
    <t>SERVINTW.CLARO.COM.AR</t>
  </si>
  <si>
    <t>SERVINTWEB.CLARO.COM.AR</t>
  </si>
  <si>
    <t>SIAC SEGURIDAD S.R.L.</t>
  </si>
  <si>
    <t>SIACOCC.M2M.CLARO.COM.AR</t>
  </si>
  <si>
    <t>SITRACK.COM ARGENTINA S.A.</t>
  </si>
  <si>
    <t>SITRACK.M2M.CLARO.COM.AR</t>
  </si>
  <si>
    <t>SLABOCH GONZALO ALEJANDRO</t>
  </si>
  <si>
    <t>STAR SERVICIOS EMPRESARIOS S.A</t>
  </si>
  <si>
    <t>SUARTEC SA</t>
  </si>
  <si>
    <t>cusat.m2m.claro.com.ar</t>
  </si>
  <si>
    <t>SUBSEC. DE TESORERIA GRAL Y CREDITO PUBL</t>
  </si>
  <si>
    <t>SYNKRO SA</t>
  </si>
  <si>
    <t>GEO.M2M.CLARO.COM.AR</t>
  </si>
  <si>
    <t>TCARGO S.A.</t>
  </si>
  <si>
    <t>TCARGO.M2M.CLARO.COM.AR</t>
  </si>
  <si>
    <t>T.C. S.A.</t>
  </si>
  <si>
    <t>DVL.M2M.CLARO.COM.AR</t>
  </si>
  <si>
    <t>TECNIMAS SA</t>
  </si>
  <si>
    <t>Tecnimas.m2m.claro.com.ar</t>
  </si>
  <si>
    <t>TELPOP.M2M.CLARO.COM.AR</t>
  </si>
  <si>
    <t>Thingco SRL</t>
  </si>
  <si>
    <t>Transdat SRL</t>
  </si>
  <si>
    <t>Transdat.m2m.claro.com.ar</t>
  </si>
  <si>
    <t>TRANSPORTADORA GAS DEL NORTE</t>
  </si>
  <si>
    <t>tgn.m2m.claro.com.ar</t>
  </si>
  <si>
    <t>VIRTUALPIN S.A.</t>
  </si>
  <si>
    <t>virtualpin.claro.com.ar</t>
  </si>
  <si>
    <t>VISION DETECT SOCIEDAD RESPONSABILIDAD L</t>
  </si>
  <si>
    <t>ZOIA MAURICIO GASTON</t>
  </si>
  <si>
    <t>Enterprise Name</t>
  </si>
  <si>
    <t>Billing cycle date</t>
  </si>
  <si>
    <t>Device plan names</t>
  </si>
  <si>
    <t xml:space="preserve">Product type names </t>
  </si>
  <si>
    <t xml:space="preserve">APN Type </t>
  </si>
  <si>
    <t>PUBLIC</t>
  </si>
  <si>
    <t>PRIVATE</t>
  </si>
  <si>
    <t>Account: VISION DETECT SOCIEDAD RESPONSABILIDAD L</t>
  </si>
  <si>
    <t>Data usage approaches its usage limit 9216 KB</t>
  </si>
  <si>
    <t>Send an email to marianmontalto@gmail.com</t>
  </si>
  <si>
    <t>09/07/2021</t>
  </si>
  <si>
    <t>Cycle To Date Data Usage</t>
  </si>
  <si>
    <t>Usage Monitoring</t>
  </si>
  <si>
    <t>Control de consumo 9MB</t>
  </si>
  <si>
    <t>From Activation Ready; To Activated</t>
  </si>
  <si>
    <t>08/07/2020</t>
  </si>
  <si>
    <t>SIM State Change</t>
  </si>
  <si>
    <t>SIM Provisioning</t>
  </si>
  <si>
    <t>Cambio Estado de SIM</t>
  </si>
  <si>
    <t>10 messages in cycle to date</t>
  </si>
  <si>
    <t>08/05/2020</t>
  </si>
  <si>
    <t>Recent SMS Usage</t>
  </si>
  <si>
    <t>Excedente de mensaje de textos</t>
  </si>
  <si>
    <t>Account: Transdat SRL</t>
  </si>
  <si>
    <t>Maximum no connection hours is 72</t>
  </si>
  <si>
    <t>Send an email to gabriel@transdat.com.ar</t>
  </si>
  <si>
    <t>02/15/2017</t>
  </si>
  <si>
    <t>No connection</t>
  </si>
  <si>
    <t>Sin reporte en 72 horas</t>
  </si>
  <si>
    <t>Account: Thingco SRL</t>
  </si>
  <si>
    <t>Data usage exceeds a specified limit 10000 KB</t>
  </si>
  <si>
    <t>Change the SIM status to "Deactivated"</t>
  </si>
  <si>
    <t>08/12/2022</t>
  </si>
  <si>
    <t>Alarma10MB_CambioDeEstado</t>
  </si>
  <si>
    <t>Send an email to gabrielmarshall1793@gmail.com</t>
  </si>
  <si>
    <t>alarmaMail10M</t>
  </si>
  <si>
    <t>Account: SYNKRO SA</t>
  </si>
  <si>
    <t>Data usage exceeds a specified limit 15000 KB</t>
  </si>
  <si>
    <t>Send an email to jbanco@geomov.com,jvera@geomov.com,soporte@geomov.com</t>
  </si>
  <si>
    <t>08/20/2019</t>
  </si>
  <si>
    <t>Uso de datos mayor a 15 MB</t>
  </si>
  <si>
    <t>5000 KB data usage in 24 hours</t>
  </si>
  <si>
    <t>10/14/2019</t>
  </si>
  <si>
    <t>Recent Data Usage (24 hours)</t>
  </si>
  <si>
    <t>Uso reciente de datos (24 horas) - 5MB</t>
  </si>
  <si>
    <t>Account: SYNKRO SA; Sim Status: Activated</t>
  </si>
  <si>
    <t>Maximum no connection hours is 150</t>
  </si>
  <si>
    <t>Change the SIM status to "Activation Ready"</t>
  </si>
  <si>
    <t>05/21/2019</t>
  </si>
  <si>
    <t>Sin Tx por 150 Horas a Listo para activar</t>
  </si>
  <si>
    <t>Account: SUBSEC. DE TESORERIA GRAL Y CREDITO PUBL</t>
  </si>
  <si>
    <t>Data usage exceeds a specified limit 3145700 KB</t>
  </si>
  <si>
    <t>11/09/2023</t>
  </si>
  <si>
    <t>Control de uso de datos</t>
  </si>
  <si>
    <t>From Activated; To Deactivated</t>
  </si>
  <si>
    <t>Send an email to 4gtrayectorias@me.cba.gov.ar</t>
  </si>
  <si>
    <t>11/10/2023</t>
  </si>
  <si>
    <t>Notifica Email Act./Desact.</t>
  </si>
  <si>
    <t>From Test Ready; To Activation Ready</t>
  </si>
  <si>
    <t>Change the SIM State to "Deactivated" at coming UTC "10:00"</t>
  </si>
  <si>
    <t>12/12/2023</t>
  </si>
  <si>
    <t>Desactivados NO en BD</t>
  </si>
  <si>
    <t>Change the SIM State to "Deactivated" at coming UTC "17:00"</t>
  </si>
  <si>
    <t>12/13/2023</t>
  </si>
  <si>
    <t>Trigger when detecting an IMEI change in accounting start request</t>
  </si>
  <si>
    <t>Change the SIM status to "Activated"</t>
  </si>
  <si>
    <t>IMEI Change</t>
  </si>
  <si>
    <t>Security</t>
  </si>
  <si>
    <t>Bloqueo x Cambio de IMEI</t>
  </si>
  <si>
    <t>Account: SUARTEC SA</t>
  </si>
  <si>
    <t>Device registers in a zone</t>
  </si>
  <si>
    <t>Send an email to jdevergilio@cusat.com.ar</t>
  </si>
  <si>
    <t>11/17/2016</t>
  </si>
  <si>
    <t>Registration in a Zone</t>
  </si>
  <si>
    <t>Testeo de Zonas Roaming</t>
  </si>
  <si>
    <t>Data usage approaches its usage limit 3000 KB</t>
  </si>
  <si>
    <t>10/05/2016</t>
  </si>
  <si>
    <t>Exceso de consumo</t>
  </si>
  <si>
    <t>Account: STAR SERVICIOS EMPRESARIOS S.A</t>
  </si>
  <si>
    <t>Send an email to julian.acosta@starsa.com.ar,sergio.monitoreo@starsa.com.ar</t>
  </si>
  <si>
    <t>10/23/2023</t>
  </si>
  <si>
    <t>Envio de mails, al cambio de IMEI</t>
  </si>
  <si>
    <t>Send an email to julian.acosta@starsa.com.ar,sergio.lopez@starsa.com.ar</t>
  </si>
  <si>
    <t>Cambio de Estado</t>
  </si>
  <si>
    <t>38000 KB data usage in 24 hours</t>
  </si>
  <si>
    <t>Supero los 38000 KB Datos</t>
  </si>
  <si>
    <t>Account: STAR SERVICIOS EMPRESARIOS S.A; Rate Plan: JASC010</t>
  </si>
  <si>
    <t>Cambio de IMEI</t>
  </si>
  <si>
    <t>Account: ACRONEX S.R.L.</t>
  </si>
  <si>
    <t>From Any; To Activated</t>
  </si>
  <si>
    <t>Push an API message to http://unimap.acronex.com/jasper_push_api?jasper_id=2</t>
  </si>
  <si>
    <t>07/29/2020</t>
  </si>
  <si>
    <t>Chip Activado</t>
  </si>
  <si>
    <t>From Any; To Inventory</t>
  </si>
  <si>
    <t>Chip a Inventario</t>
  </si>
  <si>
    <t>From Any; To Activation Ready</t>
  </si>
  <si>
    <t>Chip Listo para activar</t>
  </si>
  <si>
    <t>08/12/2020</t>
  </si>
  <si>
    <t>From Any; To Deactivated</t>
  </si>
  <si>
    <t>04/21/2020</t>
  </si>
  <si>
    <t>Chip Desactivado</t>
  </si>
  <si>
    <t>Account: SEÑALCO SUDAMERICANA S.A.</t>
  </si>
  <si>
    <t>25 messages in cycle to date</t>
  </si>
  <si>
    <t>Send an email to jasper@senalco.com.ar</t>
  </si>
  <si>
    <t>05/04/2015</t>
  </si>
  <si>
    <t>Limite SMS</t>
  </si>
  <si>
    <t>Data usage approaches its usage limit 10000 KB</t>
  </si>
  <si>
    <t>Limite 10MB</t>
  </si>
  <si>
    <t>05/05/2015</t>
  </si>
  <si>
    <t>Cambio estado Listo a Activado</t>
  </si>
  <si>
    <t>Account: SEGURIDAD PRIVADA SP S.A.</t>
  </si>
  <si>
    <t>10 MB proximity</t>
  </si>
  <si>
    <t>Send an email to walter_d@splaplata.com.ar</t>
  </si>
  <si>
    <t>05/09/2022</t>
  </si>
  <si>
    <t>SIM Data Limit</t>
  </si>
  <si>
    <t>Subscription Management</t>
  </si>
  <si>
    <t>Exceso de consumos arriba de 10M</t>
  </si>
  <si>
    <t>Account: SEGURIDAD PRIVADA KEEPER SRL; Sim Status: Activated</t>
  </si>
  <si>
    <t>Maximum no connection hours is 12</t>
  </si>
  <si>
    <t>Send an email to seguridadprivadakeepersrl@gmail.com</t>
  </si>
  <si>
    <t>02/07/2024</t>
  </si>
  <si>
    <t>sin conexion en las ultimas 12 horas</t>
  </si>
  <si>
    <t>Account: SEGURIDAD PRIVADA KEEPER SRL</t>
  </si>
  <si>
    <t>Send an email to servicekeeperalarmas@gmail.com</t>
  </si>
  <si>
    <t>11/03/2021</t>
  </si>
  <si>
    <t>control de datos</t>
  </si>
  <si>
    <t>Account: SECURITY CONSULTANT S.A.; Rate Plan: JANU010; Sim Status: Activated</t>
  </si>
  <si>
    <t>Data usage exceeds a specified limit 20000 KB</t>
  </si>
  <si>
    <t>10/21/2019</t>
  </si>
  <si>
    <t>Desactivar por exceso</t>
  </si>
  <si>
    <t>Account: SECURITY CONSULTANT S.A.; Rate Plan: JASC500; Sim Status: Activated</t>
  </si>
  <si>
    <t>Data usage exceeds a specified limit 500000 KB</t>
  </si>
  <si>
    <t>03/25/2021</t>
  </si>
  <si>
    <t>Exceso de consumo mas de 500 mb</t>
  </si>
  <si>
    <t>Data usage exceeds a specified limit 1000000 KB</t>
  </si>
  <si>
    <t>11/22/2022</t>
  </si>
  <si>
    <t>Excedentes 1GB</t>
  </si>
  <si>
    <t>Account: SECURITY CONSULTANT S.A.; Rate Plan: MGN010; Sim Status: Activated</t>
  </si>
  <si>
    <t>Data usage approaches its usage limit 3500 KB</t>
  </si>
  <si>
    <t>Send an email to soporte@securityconsultant.com.ar</t>
  </si>
  <si>
    <t>Alerta consumo</t>
  </si>
  <si>
    <t>Account: SEAC S.A.</t>
  </si>
  <si>
    <t>Data usage approaches its usage limit 1024 KB</t>
  </si>
  <si>
    <t>Send an email to gkirchner@seac.com.ar,jasperclaroreportes@cargavirtual.com</t>
  </si>
  <si>
    <t>06/08/2015</t>
  </si>
  <si>
    <t>Control de uso - Envío de correo</t>
  </si>
  <si>
    <t>Send an email to gkirchner@seac.com.ar, jasperclaroreportes@cargavirtual.com</t>
  </si>
  <si>
    <t>Cambio de IMEI - Envío de correo electronico</t>
  </si>
  <si>
    <t>Maximum no connection hours is 2160</t>
  </si>
  <si>
    <t>Send an email to jasperclaroreportes@cargavirtual.com</t>
  </si>
  <si>
    <t>Sin conexión en 2160 hs - Envío de mail</t>
  </si>
  <si>
    <t>Data usage exceeds a specified limit 10240 KB</t>
  </si>
  <si>
    <t>Send an email to gkirchner@seac.com.ar,oveglia@seac.com.ar</t>
  </si>
  <si>
    <t>11/20/2015</t>
  </si>
  <si>
    <t>Control de Uso Prueba - Envío de correo</t>
  </si>
  <si>
    <t>Data usage approaches its usage limit 1 KB</t>
  </si>
  <si>
    <t>Control del uso - Desactivar</t>
  </si>
  <si>
    <t>Account: ROSARIO BUS SA</t>
  </si>
  <si>
    <t>Data usage exceeds a specified limit 358400 KB</t>
  </si>
  <si>
    <t>Send an email to clarisa.livieri@rosariobus.com.ar</t>
  </si>
  <si>
    <t>04/22/2020</t>
  </si>
  <si>
    <t>Consumo de datos mayores a 350 MB</t>
  </si>
  <si>
    <t>Data usage exceeds a specified limit 256000 KB</t>
  </si>
  <si>
    <t>12/21/2018</t>
  </si>
  <si>
    <t>Consumo Datos 250 mb</t>
  </si>
  <si>
    <t>Account: RIESGONET S.A; Rate Plan: JASC010</t>
  </si>
  <si>
    <t>Maximum no connection hours is 2</t>
  </si>
  <si>
    <t>12/07/2023</t>
  </si>
  <si>
    <t>chinores</t>
  </si>
  <si>
    <t>Account: RIESGONET S.A; Sim Status: Activated; Customer: SU TAXI</t>
  </si>
  <si>
    <t>Data usage exceeds a specified limit 25000 KB</t>
  </si>
  <si>
    <t>12/27/2016</t>
  </si>
  <si>
    <t>Stop 25MB</t>
  </si>
  <si>
    <t>Account: QUALITY SYSTEMS GROUP SRL</t>
  </si>
  <si>
    <t>Data usage approaches its usage limit 25600 KB</t>
  </si>
  <si>
    <t>03/21/2022</t>
  </si>
  <si>
    <t>Bloqueo de excedente</t>
  </si>
  <si>
    <t>Send an email to administracion@qualitysystems.com.ar</t>
  </si>
  <si>
    <t>09/09/2021</t>
  </si>
  <si>
    <t>Consumo 25MB</t>
  </si>
  <si>
    <t>Account: QUADMINDS TECHNOLOGIES S.A.</t>
  </si>
  <si>
    <t>Change the rate plan to "MGN025"</t>
  </si>
  <si>
    <t>01/31/2017</t>
  </si>
  <si>
    <t>Pasar de 10MB a 25MB</t>
  </si>
  <si>
    <t>Account: QUADMINDS TECHNOLOGIES S.A.; Sim Status: Activated</t>
  </si>
  <si>
    <t>01/04/2017</t>
  </si>
  <si>
    <t>Pasar a Activation Ready las lineas que no se usan</t>
  </si>
  <si>
    <t>Account: PruebasIng</t>
  </si>
  <si>
    <t>Send an email to ignacio.gasparini@claro.com.ar</t>
  </si>
  <si>
    <t>03/05/2014</t>
  </si>
  <si>
    <t>Data usage exceeds a specified limit 8200 KB</t>
  </si>
  <si>
    <t>Change the rate plan to "JCN10"</t>
  </si>
  <si>
    <t>12/17/2013</t>
  </si>
  <si>
    <t>Cambio a Plan de 10MB</t>
  </si>
  <si>
    <t>Account: PruebasIng; Sim Status: Activated; Customer: MKT Co</t>
  </si>
  <si>
    <t>Data usage exceeds a specified limit 6000 KB</t>
  </si>
  <si>
    <t>Change the rate plan to "JCN05"</t>
  </si>
  <si>
    <t>12/16/2013</t>
  </si>
  <si>
    <t>Cambio de Plan 6MB sin roaming</t>
  </si>
  <si>
    <t>From JCN05 To JCN10</t>
  </si>
  <si>
    <t>09/18/2013</t>
  </si>
  <si>
    <t>SIM Rate Plan Change</t>
  </si>
  <si>
    <t>Alerta Cambio de Plan</t>
  </si>
  <si>
    <t>Account: PROSEGUR ACTIVA ARGENTINA SA</t>
  </si>
  <si>
    <t>50 messages in cycle to date</t>
  </si>
  <si>
    <t>Send an email to sebastian.etcheverry@prosegur.com</t>
  </si>
  <si>
    <t>09/03/2014</t>
  </si>
  <si>
    <t>Consumo en exceso de SMS</t>
  </si>
  <si>
    <t>Send an email to jonatan.moya@prosegur.com</t>
  </si>
  <si>
    <t>10/02/2017</t>
  </si>
  <si>
    <t>Exceso SMS</t>
  </si>
  <si>
    <t>06/22/2017</t>
  </si>
  <si>
    <t>CAMBIO DE EQUIPO</t>
  </si>
  <si>
    <t>Account: ORMACHEA CARLOS EZEQUIEL</t>
  </si>
  <si>
    <t/>
  </si>
  <si>
    <t>Send an email to eormachea@exsoft.com.ar</t>
  </si>
  <si>
    <t>12/04/2015</t>
  </si>
  <si>
    <t>Cambio de planes de precios</t>
  </si>
  <si>
    <t>Send an email to soporte@tecnologiaintegrada.com</t>
  </si>
  <si>
    <t>07/28/2016</t>
  </si>
  <si>
    <t>Cambio de "Listo para Activar" a "Activado"</t>
  </si>
  <si>
    <t>Account: OLEIROS SA</t>
  </si>
  <si>
    <t>Data usage exceeds a specified limit 40000 KB</t>
  </si>
  <si>
    <t>Send an email to dtrejo@lojack.com.ar</t>
  </si>
  <si>
    <t>03/28/2016</t>
  </si>
  <si>
    <t>EXCEDENTE</t>
  </si>
  <si>
    <t>From LOJ015 To MGN010</t>
  </si>
  <si>
    <t>11/08/2016</t>
  </si>
  <si>
    <t>Cambio Plan de Precios</t>
  </si>
  <si>
    <t>Account: OLEIROS SA; Rate Plan: LOJ015</t>
  </si>
  <si>
    <t>Data usage exceeds a specified limit 0 KB</t>
  </si>
  <si>
    <t>Change the rate plan to "LOJ015+"</t>
  </si>
  <si>
    <t>12/06/2016</t>
  </si>
  <si>
    <t>Cambio Plan</t>
  </si>
  <si>
    <t>Trigger if the number of available static IP addresses falls below 5000.</t>
  </si>
  <si>
    <t>Send an email to rbarrios@strix.com.ar</t>
  </si>
  <si>
    <t>11/22/2023</t>
  </si>
  <si>
    <t>Available Static IP Addresses</t>
  </si>
  <si>
    <t>Network and System</t>
  </si>
  <si>
    <t>Rango de direcciones IP</t>
  </si>
  <si>
    <t>From Test Ready; To Inventory</t>
  </si>
  <si>
    <t>Change the SIM State to "Activation Ready" at coming UTC "22:00"</t>
  </si>
  <si>
    <t>09/23/2015</t>
  </si>
  <si>
    <t>Test</t>
  </si>
  <si>
    <t>Account: Nacion Servicios – Solución Especial LTE; Rate Plan: JANS025</t>
  </si>
  <si>
    <t>Data usage exceeds a specified limit 75000 KB</t>
  </si>
  <si>
    <t>03/23/2018</t>
  </si>
  <si>
    <t>Desactivacion de SIM Gestion de Flota</t>
  </si>
  <si>
    <t>Account: Nacion Servicios – Solución Especial LTE; Rate Plan: JANS050</t>
  </si>
  <si>
    <t>Data usage exceeds a specified limit 70000 KB</t>
  </si>
  <si>
    <t>Desactivacion de SIM Validador GPS</t>
  </si>
  <si>
    <t>Send an email to acomunicaciones@nacionservicios.com.ar,CBARGIELA@nacionservicios.com.ar</t>
  </si>
  <si>
    <t>SIM 50MB Validador GPS - Desactivacion (40%)</t>
  </si>
  <si>
    <t>Send an email to scutri@nacionservicios.com.ar</t>
  </si>
  <si>
    <t>SIM 25MB Gestion de Flota - Desactivacion (40%)</t>
  </si>
  <si>
    <t>Send an email to acomunicaciones@nacionservicios.com.ar,mgimenez@nacionservicios.com.ar,llopinto@nacionservicios.com.ar,mmiranda@nacionservicios.com.ar</t>
  </si>
  <si>
    <t>12/27/2018</t>
  </si>
  <si>
    <t>SIM 25MB Gestion de Flota - Desactivacion (100%)</t>
  </si>
  <si>
    <t>Data usage exceeds a specified limit 100000 KB</t>
  </si>
  <si>
    <t>SIM 50MB Validador GPS - Desactivacion (100%)</t>
  </si>
  <si>
    <t>Desactivacion de SIM Gestion de Flota - 100%</t>
  </si>
  <si>
    <t>Desactivacion de SIM Validador GPS - 100%</t>
  </si>
  <si>
    <t>Account: Nacion Servicios – Solución Especial LTE; Rate Plan: JANS2GB</t>
  </si>
  <si>
    <t>Data usage exceeds a specified limit 2000000 KB</t>
  </si>
  <si>
    <t>Desactivacion de SIM Camaras - 100%</t>
  </si>
  <si>
    <t>Account: NACION SERVICIOS SA; Rate Plan: SUBE050; Sim Status: Activated; Comentarios: GARAJE</t>
  </si>
  <si>
    <t>Maximum no connection hours is 24</t>
  </si>
  <si>
    <t>Send an email to cfigueroa@nacionservicios.com.ar,lmachado@nacionservicios.com.ar,hetala@nacionservicios.com.ar,sfernandez@nacionservicios.com.ar</t>
  </si>
  <si>
    <t>04/03/2023</t>
  </si>
  <si>
    <t>Sin conexion de SIM por mas de 24 hs</t>
  </si>
  <si>
    <t>Account: Nacion Servicios – Solución Especial LTE; Sim Status: Activated</t>
  </si>
  <si>
    <t>Maximum no connection hours is 720</t>
  </si>
  <si>
    <t>04/21/2023</t>
  </si>
  <si>
    <t>Pase a Listo para activar si no tiene conexion por 1 mes para GDF</t>
  </si>
  <si>
    <t>Account: NACION SERVICIOS SA; Sim Status: Activated</t>
  </si>
  <si>
    <t>Pase a Listo para activar si no tiene conexion por 1 mes para GARAJES y TAS</t>
  </si>
  <si>
    <t>Account: Nacion Servicios – Solución Especial LTE</t>
  </si>
  <si>
    <t>Send an email to ACOMUNICACIONES@nacionservicios.com.ar</t>
  </si>
  <si>
    <t>Cambio de plan para contrataciones nuevas</t>
  </si>
  <si>
    <t>Data usage exceeds a specified limit 51200 KB</t>
  </si>
  <si>
    <t>Send an email to acomunicaciones@nacionservicios.com.ar,aalertasdesactivacionsim@nacionservicios.com.ar,asoportederedesdecarga-tas@nacionservicios.com.ar,asoportederedesdeuso@nacionservicios.com.ar</t>
  </si>
  <si>
    <t>01/27/2016</t>
  </si>
  <si>
    <t>Alerta de Consumo de Datos (excedente) - 50MB</t>
  </si>
  <si>
    <t>Data usage exceeds a specified limit 204800 KB</t>
  </si>
  <si>
    <t>Send an email to ACOMUNICACIONES@nacionservicios.com.ar,mgimenez@nacionservicios.com.ar,asoportederedesdecarga-tas@nacionservicios.com.ar,LLOPINTO@nacionservicios.com.ar,mmiranda@nacionservicios.com.ar</t>
  </si>
  <si>
    <t>09/28/2017</t>
  </si>
  <si>
    <t>Aviso de desactivacion de SIM por llegar a los 200MB</t>
  </si>
  <si>
    <t>Data usage exceeds a specified limit 102400 KB</t>
  </si>
  <si>
    <t>01/14/2016</t>
  </si>
  <si>
    <t>Desactivado de SIM por exceso de consumo (100MB)</t>
  </si>
  <si>
    <t>11/10/2017</t>
  </si>
  <si>
    <t>Desactivado de SIM por exceso de consumo (200MB)</t>
  </si>
  <si>
    <t>Account: NACION SERVICIOS SA</t>
  </si>
  <si>
    <t>11/21/2017</t>
  </si>
  <si>
    <t>Desactivado de SIM por exceso de consumo (350MB)</t>
  </si>
  <si>
    <t>Aviso de desactivacion de SIM por llegar a los 350MB</t>
  </si>
  <si>
    <t>Data usage exceeds a specified limit 512000 KB</t>
  </si>
  <si>
    <t>12/01/2017</t>
  </si>
  <si>
    <t>Desactivado de SIM por exceso de consumo (500MB)</t>
  </si>
  <si>
    <t>Account: NACION SERVICIOS SA; Rate Plan: SUBE050</t>
  </si>
  <si>
    <t>Data usage exceeds a specified limit 1024000 KB</t>
  </si>
  <si>
    <t>10/28/2023</t>
  </si>
  <si>
    <t>Desactivacion 1GB</t>
  </si>
  <si>
    <t>Aviso de desactivacion de SIM por llegar a los 100MB</t>
  </si>
  <si>
    <t>Account: Nación Servicio Posnet</t>
  </si>
  <si>
    <t>Data usage exceeds a specified limit 10000000 KB</t>
  </si>
  <si>
    <t>Send an email to MONITOREO@maspagos.com.ar</t>
  </si>
  <si>
    <t>09/13/2024</t>
  </si>
  <si>
    <t>Prueba 1</t>
  </si>
  <si>
    <t>Send an email to monitoreo@maspagos.com.ar</t>
  </si>
  <si>
    <t>07/04/2024</t>
  </si>
  <si>
    <t>Account: MICRACEL S.A.; Rate Plan: JANU025</t>
  </si>
  <si>
    <t>Data usage exceeds a specified limit 30000 KB</t>
  </si>
  <si>
    <t>Send an email to vnmarinozzi@microtrack.com.ar,dalessi@microtrack.com.ar</t>
  </si>
  <si>
    <t>06/13/2019</t>
  </si>
  <si>
    <t>Aviso de escedente de datos ( + de 30Mb)</t>
  </si>
  <si>
    <t>Account: MICRACEL S.A.</t>
  </si>
  <si>
    <t>Change the SIM State to "Activated" at coming UTC "0:00"</t>
  </si>
  <si>
    <t>08/12/2019</t>
  </si>
  <si>
    <t>Estado Inventario a Activado</t>
  </si>
  <si>
    <t>Account: MICRACEL S.A.; Rate Plan: JASC025; Sim Status: Activated; Customer: CLIENTE.MTK</t>
  </si>
  <si>
    <t>Send an email to nicolas.marinozzi@microtrack.com.ar</t>
  </si>
  <si>
    <t>10/08/2019</t>
  </si>
  <si>
    <t>Cambio de IMEI  JASC025 mail</t>
  </si>
  <si>
    <t>10/02/2018</t>
  </si>
  <si>
    <t>Cambio de IMEI JASCO25</t>
  </si>
  <si>
    <t>Account: MERCADO LIBRE S.R.L.</t>
  </si>
  <si>
    <t>Data usage exceeds a specified limit 5000000 KB</t>
  </si>
  <si>
    <t>04/15/2021</t>
  </si>
  <si>
    <t>Consumo maximo</t>
  </si>
  <si>
    <t>Account: MERCADO LIBRE S.R.L.; Sim Status: Activated</t>
  </si>
  <si>
    <t>11/19/2020</t>
  </si>
  <si>
    <t>Account: MEGATRANS S.A.</t>
  </si>
  <si>
    <t>Monthly billable data usage threshold 60 (%)</t>
  </si>
  <si>
    <t>Send an email to daniel.lopez@megatrans.com.ar</t>
  </si>
  <si>
    <t>11/04/2024</t>
  </si>
  <si>
    <t>Monthly Pooled Data Usage</t>
  </si>
  <si>
    <t>Datos de el Pool</t>
  </si>
  <si>
    <t>Account: MASTER BUS S.A.; Rate Plan: JASC100; Sim Status: Activated</t>
  </si>
  <si>
    <t>1 messages in cycle to date</t>
  </si>
  <si>
    <t>Send an email to ldominguez@masterbus.net</t>
  </si>
  <si>
    <t>09/18/2023</t>
  </si>
  <si>
    <t>mensaje Davi 2</t>
  </si>
  <si>
    <t>Account: IP SECURITY SA; Rate Plan: JASC010; Sim Status: Activated</t>
  </si>
  <si>
    <t>Data usage approaches its usage limit 10024 KB</t>
  </si>
  <si>
    <t>Send an email to calidad@ipsecurity.com.ar</t>
  </si>
  <si>
    <t>07/02/2024</t>
  </si>
  <si>
    <t>Consumo de 10 Mb en el plan de 10 mb</t>
  </si>
  <si>
    <t>Account: IP SECURITY SA; Rate Plan: JANU025; Sim Status: Activated</t>
  </si>
  <si>
    <t>Sim llego al tope del plan de 25 Mb</t>
  </si>
  <si>
    <t>Account: IP SECURITY SA; Rate Plan: JANU050; Sim Status: Activated</t>
  </si>
  <si>
    <t>Data usage exceeds a specified limit 50000 KB</t>
  </si>
  <si>
    <t>Llego al tope del plan de 50 Mb</t>
  </si>
  <si>
    <t>Account: IP SECURITY SA</t>
  </si>
  <si>
    <t>Monthly billable data usage threshold 90 (%)</t>
  </si>
  <si>
    <t>06/07/2024</t>
  </si>
  <si>
    <t>Advertencia Claro 90 % de consumo</t>
  </si>
  <si>
    <t>Account: GTCS S.A.</t>
  </si>
  <si>
    <t>Send an email to soporte@geotecgps.com</t>
  </si>
  <si>
    <t>09/03/2020</t>
  </si>
  <si>
    <t>Consumo</t>
  </si>
  <si>
    <t>Account: GCBA</t>
  </si>
  <si>
    <t>Send an SMS</t>
  </si>
  <si>
    <t>06/16/2016</t>
  </si>
  <si>
    <t>Prueba regla cambio IMEI</t>
  </si>
  <si>
    <t>Account: EYCON S.A.; Customer: Tandil PRKs</t>
  </si>
  <si>
    <t>Maximum no connection hours is 1</t>
  </si>
  <si>
    <t>Send an email to diegohernandez@eycon.com</t>
  </si>
  <si>
    <t>06/07/2022</t>
  </si>
  <si>
    <t>SIM sin Conexión - PRK Tandil</t>
  </si>
  <si>
    <t>Account: EMP. PCIAL. DE ENERGIA STA.FE</t>
  </si>
  <si>
    <t>Data usage exceeds a specified limit 1200000 KB</t>
  </si>
  <si>
    <t>09/23/2022</t>
  </si>
  <si>
    <t>Guarda de datos</t>
  </si>
  <si>
    <t>Data usage approaches its usage limit 800000 KB</t>
  </si>
  <si>
    <t>Send an email to rgudinio@epe.santafe.gov.ar,comzn@epe.santafe.gov.ar,comuzss@gmail.com</t>
  </si>
  <si>
    <t>Mail de advertencia cuota</t>
  </si>
  <si>
    <t>Account: COM SEG ARGENTINA S.A.S.; Rate Plan: JANU050</t>
  </si>
  <si>
    <t>Send an email to mariano@commers.com.ar,ventas1@commers.com.ar</t>
  </si>
  <si>
    <t>04/25/2024</t>
  </si>
  <si>
    <t>LIMITE DE CONSUMO DE CHIP - ALERTA 40MB</t>
  </si>
  <si>
    <t>Account: COM SEG ARGENTINA S.A.S.; Rate Plan: JASC010</t>
  </si>
  <si>
    <t>Data usage exceeds a specified limit 8500 KB</t>
  </si>
  <si>
    <t>LIMITE DE CONSUMO DE CHIP - ALERTA A LOS 8.5MB</t>
  </si>
  <si>
    <t>Account: COM SEG ARGENTINA S.A.S.</t>
  </si>
  <si>
    <t>7 MB proximity</t>
  </si>
  <si>
    <t>Send an email to mariano@commers.com.ar</t>
  </si>
  <si>
    <t>02/05/2020</t>
  </si>
  <si>
    <t>ALARMA A LOS 7 MB DE CONSUMO.</t>
  </si>
  <si>
    <t>Account: BUGS SOLUCIONES ELECT SA</t>
  </si>
  <si>
    <t>Data usage exceeds a specified limit 6 KB</t>
  </si>
  <si>
    <t>Send an email to emilce.perez@bugssa.com.ar</t>
  </si>
  <si>
    <t>08/07/2019</t>
  </si>
  <si>
    <t>Control datos SIM</t>
  </si>
  <si>
    <t>Account: BAUMBACH BRIAN LEANDRO; Sim Status: Activated</t>
  </si>
  <si>
    <t>12/05/2024</t>
  </si>
  <si>
    <t>ALERTA - Corte por exceso de MB</t>
  </si>
  <si>
    <t>Data usage exceeds a specified limit 30720 KB</t>
  </si>
  <si>
    <t>Send an email to brian@pampasat.com</t>
  </si>
  <si>
    <t>ALERTA - Aviso de exceso de MB</t>
  </si>
  <si>
    <t>512 KB data usage in 24 hours</t>
  </si>
  <si>
    <t>12/06/2024</t>
  </si>
  <si>
    <t>AVISO - Exceso diario de MB</t>
  </si>
  <si>
    <t>ALERTA - Aviso de cambio de IMEI</t>
  </si>
  <si>
    <t>Account: BANCO DE LA PROVINCIA DE BS AS</t>
  </si>
  <si>
    <t>From Test Ready; To Activated</t>
  </si>
  <si>
    <t>Send an email to etorres2@bpba.com.ar,ccereto@bpba.com.ar</t>
  </si>
  <si>
    <t>12/01/2023</t>
  </si>
  <si>
    <t>SIM_ACTIVADA</t>
  </si>
  <si>
    <t>08/02/2024</t>
  </si>
  <si>
    <t>08/01/2024</t>
  </si>
  <si>
    <t>Account: 24HS SA</t>
  </si>
  <si>
    <t>Send an email to tec@24hs.com.ar</t>
  </si>
  <si>
    <t>10/29/2019</t>
  </si>
  <si>
    <t>Enviar eMail a TEC de "activado" de la SIM.</t>
  </si>
  <si>
    <t>Data usage approaches its usage limit 10240 KB</t>
  </si>
  <si>
    <t>Send an email to jl@24hs.com.ar</t>
  </si>
  <si>
    <t>Email por exceso a JL.</t>
  </si>
  <si>
    <t>De "Listo para activar" a "Activado"; sms: BWS.off</t>
  </si>
  <si>
    <t>Filters</t>
  </si>
  <si>
    <t>Rule Definition</t>
  </si>
  <si>
    <t>Action</t>
  </si>
  <si>
    <t>Created By Account</t>
  </si>
  <si>
    <t>Creation Date</t>
  </si>
  <si>
    <t>Trigger</t>
  </si>
  <si>
    <t>Category</t>
  </si>
  <si>
    <t>Rule Name</t>
  </si>
  <si>
    <t xml:space="preserve">Cluster 1 </t>
  </si>
  <si>
    <t>Cant. Planes</t>
  </si>
  <si>
    <t>Nombre planes</t>
  </si>
  <si>
    <t>1 (JASC010)</t>
  </si>
  <si>
    <t>JASC010</t>
  </si>
  <si>
    <t>2 (JAGC1GB y JASN010)</t>
  </si>
  <si>
    <t>JAGC1GB,JASN010</t>
  </si>
  <si>
    <t>Grupo Margen</t>
  </si>
  <si>
    <t>CIA Omnibus 25 de mayo</t>
  </si>
  <si>
    <t>1 (JASC025)</t>
  </si>
  <si>
    <t>JASC025</t>
  </si>
  <si>
    <t>Desarrollos del Litoral</t>
  </si>
  <si>
    <t>2 (JASC010 y JASC025)</t>
  </si>
  <si>
    <t>JASC010,JASC025</t>
  </si>
  <si>
    <t>TELPOP</t>
  </si>
  <si>
    <t>3 (JASC010, JASC025, JASL010)</t>
  </si>
  <si>
    <t>JASC010,JASC025,JASL010</t>
  </si>
  <si>
    <t>Empresa distribuidora deenergia atlantic</t>
  </si>
  <si>
    <t>1 JASC010</t>
  </si>
  <si>
    <t>PAN AMERICAN ENERGY SL SUCURSAL ARGENTIN A</t>
  </si>
  <si>
    <t>3 (JANU050, JASC010, JASC025)</t>
  </si>
  <si>
    <r>
      <t>JANU050</t>
    </r>
    <r>
      <rPr>
        <sz val="11"/>
        <color rgb="FF000000"/>
        <rFont val="Aptos Narrow"/>
        <family val="2"/>
        <scheme val="minor"/>
      </rPr>
      <t>,</t>
    </r>
    <r>
      <rPr>
        <sz val="11"/>
        <color rgb="FF156082"/>
        <rFont val="Aptos Narrow"/>
        <family val="2"/>
        <scheme val="minor"/>
      </rPr>
      <t>JASC010</t>
    </r>
    <r>
      <rPr>
        <sz val="11"/>
        <color rgb="FF000000"/>
        <rFont val="Aptos Narrow"/>
        <family val="2"/>
        <scheme val="minor"/>
      </rPr>
      <t>,</t>
    </r>
    <r>
      <rPr>
        <sz val="11"/>
        <color rgb="FFFF0000"/>
        <rFont val="Aptos Narrow"/>
        <family val="2"/>
        <scheme val="minor"/>
      </rPr>
      <t>JASC025</t>
    </r>
  </si>
  <si>
    <t>SEÑALCO SUDAMERICANA S A</t>
  </si>
  <si>
    <t>2 (JASC010, JASC025)</t>
  </si>
  <si>
    <r>
      <t>JASC010</t>
    </r>
    <r>
      <rPr>
        <sz val="11"/>
        <color rgb="FF000000"/>
        <rFont val="Aptos Narrow"/>
        <family val="2"/>
        <scheme val="minor"/>
      </rPr>
      <t>,</t>
    </r>
    <r>
      <rPr>
        <sz val="11"/>
        <color rgb="FFFF0000"/>
        <rFont val="Aptos Narrow"/>
        <family val="2"/>
        <scheme val="minor"/>
      </rPr>
      <t>JASC025</t>
    </r>
  </si>
  <si>
    <t>1 (JANU050)</t>
  </si>
  <si>
    <t>JANU050</t>
  </si>
  <si>
    <t>2 (JANU050, JASC010)</t>
  </si>
  <si>
    <r>
      <t>JANU050</t>
    </r>
    <r>
      <rPr>
        <sz val="11"/>
        <rFont val="Aptos Narrow"/>
        <family val="2"/>
        <scheme val="minor"/>
      </rPr>
      <t xml:space="preserve">, </t>
    </r>
    <r>
      <rPr>
        <sz val="11"/>
        <color rgb="FFE97132"/>
        <rFont val="Aptos Narrow"/>
        <family val="2"/>
        <scheme val="minor"/>
      </rPr>
      <t>JASC010</t>
    </r>
  </si>
  <si>
    <t>3 (JANU050,JASC010,JASC025)</t>
  </si>
  <si>
    <r>
      <t>JANU050</t>
    </r>
    <r>
      <rPr>
        <sz val="11"/>
        <rFont val="Aptos Narrow"/>
        <family val="2"/>
        <scheme val="minor"/>
      </rPr>
      <t>,</t>
    </r>
    <r>
      <rPr>
        <sz val="11"/>
        <color rgb="FFE97132"/>
        <rFont val="Aptos Narrow"/>
        <family val="2"/>
        <scheme val="minor"/>
      </rPr>
      <t>JASC010</t>
    </r>
    <r>
      <rPr>
        <sz val="11"/>
        <rFont val="Aptos Narrow"/>
        <family val="2"/>
        <scheme val="minor"/>
      </rPr>
      <t>,</t>
    </r>
    <r>
      <rPr>
        <sz val="11"/>
        <color rgb="FF4EA72E"/>
        <rFont val="Aptos Narrow"/>
        <family val="2"/>
        <scheme val="minor"/>
      </rPr>
      <t>JASC025</t>
    </r>
  </si>
  <si>
    <r>
      <t xml:space="preserve">JASC010, </t>
    </r>
    <r>
      <rPr>
        <sz val="11"/>
        <color rgb="FF4EA72E"/>
        <rFont val="Aptos Narrow"/>
        <family val="2"/>
        <scheme val="minor"/>
      </rPr>
      <t>JASC025</t>
    </r>
  </si>
  <si>
    <t>1 (JASC100)</t>
  </si>
  <si>
    <t>JASC100</t>
  </si>
  <si>
    <t>1 (JSAC010)</t>
  </si>
  <si>
    <t>JSAC010</t>
  </si>
  <si>
    <t>TRANSDAT SRL</t>
  </si>
  <si>
    <t>3 (JASC025, JASC010, JANU050)</t>
  </si>
  <si>
    <r>
      <t>JASC025</t>
    </r>
    <r>
      <rPr>
        <sz val="11"/>
        <rFont val="Aptos Narrow"/>
        <family val="2"/>
        <scheme val="minor"/>
      </rPr>
      <t xml:space="preserve">, </t>
    </r>
    <r>
      <rPr>
        <sz val="11"/>
        <color rgb="FFE97132"/>
        <rFont val="Aptos Narrow"/>
        <family val="2"/>
        <scheme val="minor"/>
      </rP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0F9ED5"/>
        <rFont val="Aptos Narrow"/>
        <family val="2"/>
        <scheme val="minor"/>
      </rPr>
      <t>JANU050</t>
    </r>
  </si>
  <si>
    <t>1 (JANU025)</t>
  </si>
  <si>
    <t>JANU025</t>
  </si>
  <si>
    <t>3 (JASC025, JARA050, JANU050)</t>
  </si>
  <si>
    <r>
      <t>JASC025</t>
    </r>
    <r>
      <rPr>
        <sz val="11"/>
        <rFont val="Aptos Narrow"/>
        <family val="2"/>
        <scheme val="minor"/>
      </rPr>
      <t xml:space="preserve">, </t>
    </r>
    <r>
      <rPr>
        <sz val="11"/>
        <color rgb="FFA6A6A6"/>
        <rFont val="Aptos Narrow"/>
        <family val="2"/>
        <scheme val="minor"/>
      </rPr>
      <t>JARA050</t>
    </r>
    <r>
      <rPr>
        <sz val="11"/>
        <rFont val="Aptos Narrow"/>
        <family val="2"/>
        <scheme val="minor"/>
      </rPr>
      <t xml:space="preserve">, </t>
    </r>
    <r>
      <rPr>
        <sz val="11"/>
        <color rgb="FF0F9ED5"/>
        <rFont val="Aptos Narrow"/>
        <family val="2"/>
        <scheme val="minor"/>
      </rPr>
      <t>JANU050</t>
    </r>
  </si>
  <si>
    <t>2 (JASC010, JASL010)</t>
  </si>
  <si>
    <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FFFF00"/>
        <rFont val="Aptos Narrow"/>
        <family val="2"/>
        <scheme val="minor"/>
      </rPr>
      <t>JASL010</t>
    </r>
  </si>
  <si>
    <t>3 (JASA010, JASC010, JASL010)</t>
  </si>
  <si>
    <r>
      <t xml:space="preserve">JASA010, </t>
    </r>
    <r>
      <rPr>
        <sz val="11"/>
        <color rgb="FFE97132"/>
        <rFont val="Aptos Narrow"/>
        <family val="2"/>
        <scheme val="minor"/>
      </rP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A02B93"/>
        <rFont val="Aptos Narrow"/>
        <family val="2"/>
        <scheme val="minor"/>
      </rPr>
      <t>JASL010</t>
    </r>
  </si>
  <si>
    <t>3 (JANU050, JASC010, JASC500)</t>
  </si>
  <si>
    <r>
      <t>JANU050</t>
    </r>
    <r>
      <rPr>
        <sz val="11"/>
        <rFont val="Aptos Narrow"/>
        <family val="2"/>
        <scheme val="minor"/>
      </rPr>
      <t xml:space="preserve">, </t>
    </r>
    <r>
      <rPr>
        <sz val="11"/>
        <color rgb="FFE97132"/>
        <rFont val="Aptos Narrow"/>
        <family val="2"/>
        <scheme val="minor"/>
      </rP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E49EDD"/>
        <rFont val="Aptos Narrow"/>
        <family val="2"/>
        <scheme val="minor"/>
      </rPr>
      <t>JASC500</t>
    </r>
  </si>
  <si>
    <t>EDENOR S.A.</t>
  </si>
  <si>
    <t>JASC010, JASC025</t>
  </si>
  <si>
    <t>AGUA Y SANEAMIENTOS ARGENTINOSSOCIEDAD ANONIMA</t>
  </si>
  <si>
    <t>3 (JASI050, JASI1GB, JASI500)</t>
  </si>
  <si>
    <t>JASI050, JASI1GB, JASI500</t>
  </si>
  <si>
    <t>1 (JANU0500)</t>
  </si>
  <si>
    <t>JANU0500</t>
  </si>
  <si>
    <t>1 (JASP050)</t>
  </si>
  <si>
    <t>JASP050</t>
  </si>
  <si>
    <t>EMPRESA PROVINCIAL DE ENERGIADE CORDOBA</t>
  </si>
  <si>
    <t>1 (JASE025)</t>
  </si>
  <si>
    <t>JASE025</t>
  </si>
  <si>
    <t>EMPRESA DISTRIBUIDORA LA PLATA SOCIEDADANONIMA EDELAP S A</t>
  </si>
  <si>
    <t>JANU050, JASC010, JASC025</t>
  </si>
  <si>
    <t>3 (JASC010, JASC100, JASC1GB)</t>
  </si>
  <si>
    <t>JASC010, JASC100, JASC1GB</t>
  </si>
  <si>
    <t>LOGISTICA DCN</t>
  </si>
  <si>
    <t>ALBIERO HNOS SRL</t>
  </si>
  <si>
    <t>2 (JANU025, JARA050)</t>
  </si>
  <si>
    <t>JANU025, JARA050</t>
  </si>
  <si>
    <t>1 (JASI010)</t>
  </si>
  <si>
    <t>JASI010</t>
  </si>
  <si>
    <t>MEGATRANS S A</t>
  </si>
  <si>
    <t>3 (JASC010, JASC025, JASC1GB)</t>
  </si>
  <si>
    <t>JASC010, JASC025, JASC1GB</t>
  </si>
  <si>
    <t>2 (JANU010, JASC025)</t>
  </si>
  <si>
    <t>JANU010, JASC025</t>
  </si>
  <si>
    <t>CONVERGIA ARGENTINA SA</t>
  </si>
  <si>
    <t>-</t>
  </si>
  <si>
    <t>GTCS</t>
  </si>
  <si>
    <t>JASC010, JASL010</t>
  </si>
  <si>
    <t>2 (JASC010, JASC5GB)</t>
  </si>
  <si>
    <t>JASC010, JASC5GB</t>
  </si>
  <si>
    <t>JASC010, JASC025, JASL010</t>
  </si>
  <si>
    <t>1 (JASM3GB)</t>
  </si>
  <si>
    <t>JASM3GB</t>
  </si>
  <si>
    <t>2 (JASC010, JASC500)</t>
  </si>
  <si>
    <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FFFF00"/>
        <rFont val="Aptos Narrow"/>
        <family val="2"/>
        <scheme val="minor"/>
      </rPr>
      <t>JASC500</t>
    </r>
  </si>
  <si>
    <t>VISION DETECT SOCIEDAD RESPONSABILIDAD L IMITADA</t>
  </si>
  <si>
    <t>SEGURIDAD ELECTRONICAGENERAL ALVARADO S.R.L.</t>
  </si>
  <si>
    <t>1 (JASB1GB)</t>
  </si>
  <si>
    <t>JASB1GB</t>
  </si>
  <si>
    <t>ELECTRONICA PAMPEANA SRL</t>
  </si>
  <si>
    <r>
      <t>JANU050</t>
    </r>
    <r>
      <rPr>
        <sz val="11"/>
        <rFont val="Aptos Narrow"/>
        <family val="2"/>
        <scheme val="minor"/>
      </rPr>
      <t xml:space="preserve">, </t>
    </r>
    <r>
      <rPr>
        <sz val="11"/>
        <color rgb="FF0F9ED5"/>
        <rFont val="Aptos Narrow"/>
        <family val="2"/>
        <scheme val="minor"/>
      </rPr>
      <t>JASC010</t>
    </r>
  </si>
  <si>
    <r>
      <t>JASC010</t>
    </r>
    <r>
      <rPr>
        <sz val="11"/>
        <rFont val="Aptos Narrow"/>
        <family val="2"/>
        <scheme val="minor"/>
      </rPr>
      <t xml:space="preserve">, </t>
    </r>
    <r>
      <rPr>
        <sz val="11"/>
        <color rgb="FFE97132"/>
        <rFont val="Aptos Narrow"/>
        <family val="2"/>
        <scheme val="minor"/>
      </rPr>
      <t>JASC025</t>
    </r>
  </si>
  <si>
    <t>SEGURIDAD PRIVADA SP SA</t>
  </si>
  <si>
    <t>AMERICA GIS  SRL</t>
  </si>
  <si>
    <t>THINGCO SRL</t>
  </si>
  <si>
    <t>MERCADO LIBRE S.R.L</t>
  </si>
  <si>
    <t>1 (meli25m)</t>
  </si>
  <si>
    <t>meli25m</t>
  </si>
  <si>
    <t>4 (SUBE050, JANS025, JANS050, JAP0500)</t>
  </si>
  <si>
    <t>SUBE050, JANS025,JANS050,JAP0500</t>
  </si>
  <si>
    <t>1 (LOJ015+)</t>
  </si>
  <si>
    <t>LOJ015+</t>
  </si>
  <si>
    <t>VirtualPin S.A.</t>
  </si>
  <si>
    <t>1(JASC025)</t>
  </si>
  <si>
    <t>1(JAPO500)</t>
  </si>
  <si>
    <t>2(JANS025,JANS050,JANSGB2,JANS2GB)</t>
  </si>
  <si>
    <t>GRUPO MARGEN SA</t>
  </si>
  <si>
    <t>DESARROLLOS DEL LITORAL SA</t>
  </si>
  <si>
    <t>TELPOP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</si>
</sst>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56082"/>
      <name val="Aptos Narrow"/>
      <family val="2"/>
      <scheme val="minor"/>
    </font>
    <font>
      <sz val="11"/>
      <color rgb="FF4EA72E"/>
      <name val="Aptos Narrow"/>
      <family val="2"/>
      <scheme val="minor"/>
    </font>
    <font>
      <sz val="11"/>
      <color rgb="FF0F9ED5"/>
      <name val="Aptos Narrow"/>
      <family val="2"/>
      <scheme val="minor"/>
    </font>
    <font>
      <sz val="11"/>
      <color rgb="FFE97132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A02B93"/>
      <name val="Aptos Narrow"/>
      <family val="2"/>
      <scheme val="minor"/>
    </font>
    <font>
      <sz val="11"/>
      <color rgb="FFE49EDD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D86DC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4" xfId="1" applyFont="1" applyFill="1" applyBorder="1"/>
    <xf numFmtId="0" fontId="1" fillId="2" borderId="3" xfId="1" applyFont="1" applyFill="1" applyBorder="1" applyAlignment="1">
      <alignment horizontal="center" vertical="center" wrapText="1"/>
    </xf>
    <xf numFmtId="0" fontId="1" fillId="3" borderId="0" xfId="0" applyFont="1" applyFill="1"/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2" fillId="3" borderId="0" xfId="0" applyFont="1" applyFill="1"/>
    <xf numFmtId="0" fontId="5" fillId="0" borderId="4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/>
    <xf numFmtId="0" fontId="12" fillId="4" borderId="0" xfId="0" applyFont="1" applyFill="1" applyAlignment="1">
      <alignment horizontal="left"/>
    </xf>
    <xf numFmtId="0" fontId="12" fillId="4" borderId="0" xfId="0" applyFont="1" applyFill="1"/>
    <xf numFmtId="0" fontId="12" fillId="5" borderId="0" xfId="0" applyFont="1" applyFill="1" applyAlignment="1">
      <alignment horizontal="left"/>
    </xf>
    <xf numFmtId="0" fontId="22" fillId="0" borderId="0" xfId="0" applyFont="1"/>
    <xf numFmtId="0" fontId="23" fillId="0" borderId="0" xfId="0" applyFont="1"/>
    <xf numFmtId="0" fontId="1" fillId="2" borderId="1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Normal" xfId="0" builtinId="0"/>
    <cellStyle name="Normal 2" xfId="1" xr:uid="{E7D0B0D3-B6D3-4480-837D-92C3362CEC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5B07-DDB5-4A82-8004-B7FDFFF74DCD}">
  <sheetPr filterMode="1"/>
  <dimension ref="A1:K107"/>
  <sheetViews>
    <sheetView tabSelected="1" workbookViewId="0">
      <selection activeCell="B42" sqref="B42"/>
    </sheetView>
  </sheetViews>
  <sheetFormatPr baseColWidth="10" defaultColWidth="11.44140625" defaultRowHeight="14.4" x14ac:dyDescent="0.3"/>
  <cols>
    <col min="1" max="1" width="5.21875" style="1" customWidth="1"/>
    <col min="2" max="2" width="50.88671875" bestFit="1" customWidth="1"/>
    <col min="3" max="3" width="19.5546875" style="1" bestFit="1" customWidth="1"/>
    <col min="4" max="4" width="50.88671875" customWidth="1"/>
    <col min="5" max="7" width="12.21875" customWidth="1"/>
    <col min="8" max="8" width="36.6640625" bestFit="1" customWidth="1"/>
    <col min="9" max="10" width="34.77734375" customWidth="1"/>
    <col min="11" max="11" width="11.33203125" customWidth="1"/>
  </cols>
  <sheetData>
    <row r="1" spans="1:11" ht="14.55" customHeight="1" x14ac:dyDescent="0.3">
      <c r="E1" s="29" t="s">
        <v>193</v>
      </c>
      <c r="F1" s="30"/>
      <c r="G1" s="31"/>
    </row>
    <row r="2" spans="1:11" x14ac:dyDescent="0.3">
      <c r="A2" s="2" t="s">
        <v>0</v>
      </c>
      <c r="B2" s="3" t="s">
        <v>190</v>
      </c>
      <c r="C2" s="2" t="s">
        <v>191</v>
      </c>
      <c r="D2" s="3" t="s">
        <v>192</v>
      </c>
      <c r="E2" s="5" t="s">
        <v>4</v>
      </c>
      <c r="F2" s="5" t="s">
        <v>5</v>
      </c>
      <c r="G2" s="5" t="s">
        <v>6</v>
      </c>
      <c r="H2" s="4" t="s">
        <v>1</v>
      </c>
      <c r="I2" s="4" t="s">
        <v>2</v>
      </c>
      <c r="J2" s="4" t="s">
        <v>3</v>
      </c>
      <c r="K2" s="3" t="s">
        <v>194</v>
      </c>
    </row>
    <row r="3" spans="1:11" hidden="1" x14ac:dyDescent="0.3">
      <c r="A3" s="6">
        <v>1</v>
      </c>
      <c r="B3" s="7" t="s">
        <v>7</v>
      </c>
      <c r="C3" s="6">
        <v>8</v>
      </c>
      <c r="D3" s="7" t="str">
        <f>VLOOKUP(B3,Hoja1!A:C,2,FALSE)</f>
        <v>1 (JASC010)</v>
      </c>
      <c r="E3" s="8">
        <v>396</v>
      </c>
      <c r="F3" s="8">
        <v>0</v>
      </c>
      <c r="G3" s="8">
        <v>0</v>
      </c>
      <c r="H3" s="9" t="s">
        <v>12</v>
      </c>
      <c r="I3" s="9" t="s">
        <v>13</v>
      </c>
      <c r="J3" s="10" t="s">
        <v>11</v>
      </c>
      <c r="K3" s="7" t="s">
        <v>195</v>
      </c>
    </row>
    <row r="4" spans="1:11" hidden="1" x14ac:dyDescent="0.3">
      <c r="A4" s="6">
        <v>2</v>
      </c>
      <c r="B4" s="7" t="s">
        <v>14</v>
      </c>
      <c r="C4" s="6">
        <v>8</v>
      </c>
      <c r="D4" s="7" t="str">
        <f>VLOOKUP(B4,Hoja1!A:C,2,FALSE)</f>
        <v>2 (JANU025, JARA050)</v>
      </c>
      <c r="E4" s="8">
        <v>2650</v>
      </c>
      <c r="F4" s="8">
        <v>0</v>
      </c>
      <c r="G4" s="8">
        <v>0</v>
      </c>
      <c r="H4" s="9" t="s">
        <v>15</v>
      </c>
      <c r="I4" s="10" t="s">
        <v>11</v>
      </c>
      <c r="J4" s="10" t="s">
        <v>11</v>
      </c>
      <c r="K4" s="7" t="s">
        <v>196</v>
      </c>
    </row>
    <row r="5" spans="1:11" hidden="1" x14ac:dyDescent="0.3">
      <c r="A5" s="6">
        <v>3</v>
      </c>
      <c r="B5" s="7" t="s">
        <v>16</v>
      </c>
      <c r="C5" s="6">
        <v>8</v>
      </c>
      <c r="D5" s="7" t="str">
        <f>VLOOKUP(B5,Hoja1!A:C,2,FALSE)</f>
        <v>1 JASC010</v>
      </c>
      <c r="E5" s="8">
        <v>9600</v>
      </c>
      <c r="F5" s="8">
        <v>0</v>
      </c>
      <c r="G5" s="8">
        <v>0</v>
      </c>
      <c r="H5" s="9" t="s">
        <v>17</v>
      </c>
      <c r="I5" s="10" t="s">
        <v>12</v>
      </c>
      <c r="J5" s="10" t="s">
        <v>11</v>
      </c>
      <c r="K5" s="7" t="s">
        <v>195</v>
      </c>
    </row>
    <row r="6" spans="1:11" hidden="1" x14ac:dyDescent="0.3">
      <c r="A6" s="6">
        <v>4</v>
      </c>
      <c r="B6" s="7" t="s">
        <v>18</v>
      </c>
      <c r="C6" s="6">
        <v>8</v>
      </c>
      <c r="D6" s="7" t="str">
        <f>VLOOKUP(B6,Hoja1!A:C,2,FALSE)</f>
        <v>1 (JASC010)</v>
      </c>
      <c r="E6" s="8">
        <v>310</v>
      </c>
      <c r="F6" s="8">
        <v>0</v>
      </c>
      <c r="G6" s="8">
        <v>0</v>
      </c>
      <c r="H6" s="9" t="s">
        <v>12</v>
      </c>
      <c r="I6" s="10" t="s">
        <v>11</v>
      </c>
      <c r="J6" s="10" t="s">
        <v>11</v>
      </c>
      <c r="K6" s="7" t="s">
        <v>195</v>
      </c>
    </row>
    <row r="7" spans="1:11" hidden="1" x14ac:dyDescent="0.3">
      <c r="A7" s="6">
        <v>5</v>
      </c>
      <c r="B7" s="7" t="s">
        <v>668</v>
      </c>
      <c r="C7" s="6">
        <v>8</v>
      </c>
      <c r="D7" s="7" t="str">
        <f>VLOOKUP(B7,Hoja1!A:C,2,FALSE)</f>
        <v>3 (JASI050, JASI1GB, JASI500)</v>
      </c>
      <c r="E7" s="8">
        <v>1153</v>
      </c>
      <c r="F7" s="8">
        <v>0</v>
      </c>
      <c r="G7" s="8">
        <v>0</v>
      </c>
      <c r="H7" s="9" t="s">
        <v>19</v>
      </c>
      <c r="I7" s="10" t="s">
        <v>11</v>
      </c>
      <c r="J7" s="10" t="s">
        <v>11</v>
      </c>
      <c r="K7" s="7" t="s">
        <v>196</v>
      </c>
    </row>
    <row r="8" spans="1:11" hidden="1" x14ac:dyDescent="0.3">
      <c r="A8" s="6">
        <v>6</v>
      </c>
      <c r="B8" s="7" t="s">
        <v>20</v>
      </c>
      <c r="C8" s="6">
        <v>8</v>
      </c>
      <c r="D8" s="7" t="str">
        <f>VLOOKUP(B8,Hoja1!A:C,2,FALSE)</f>
        <v>3 (JANU050, JASC010, JASC025)</v>
      </c>
      <c r="E8" s="8">
        <v>700</v>
      </c>
      <c r="F8" s="8">
        <v>0</v>
      </c>
      <c r="G8" s="8">
        <v>0</v>
      </c>
      <c r="H8" s="9" t="s">
        <v>21</v>
      </c>
      <c r="I8" s="10" t="s">
        <v>11</v>
      </c>
      <c r="J8" s="10" t="s">
        <v>11</v>
      </c>
      <c r="K8" s="7" t="s">
        <v>196</v>
      </c>
    </row>
    <row r="9" spans="1:11" hidden="1" x14ac:dyDescent="0.3">
      <c r="A9" s="6">
        <v>7</v>
      </c>
      <c r="B9" s="7" t="s">
        <v>22</v>
      </c>
      <c r="C9" s="6">
        <v>8</v>
      </c>
      <c r="D9" s="7" t="str">
        <f>VLOOKUP(B9,Hoja1!A:C,2,FALSE)</f>
        <v>1 (JASC010)</v>
      </c>
      <c r="E9" s="8">
        <v>997</v>
      </c>
      <c r="F9" s="8">
        <v>100</v>
      </c>
      <c r="G9" s="8">
        <v>0</v>
      </c>
      <c r="H9" s="9" t="s">
        <v>23</v>
      </c>
      <c r="I9" s="9" t="s">
        <v>12</v>
      </c>
      <c r="J9" s="10" t="s">
        <v>11</v>
      </c>
      <c r="K9" s="7" t="s">
        <v>195</v>
      </c>
    </row>
    <row r="10" spans="1:11" hidden="1" x14ac:dyDescent="0.3">
      <c r="A10" s="6">
        <v>8</v>
      </c>
      <c r="B10" s="7" t="s">
        <v>712</v>
      </c>
      <c r="C10" s="6">
        <v>8</v>
      </c>
      <c r="D10" s="7" t="str">
        <f>VLOOKUP(B10,Hoja1!A:C,2,FALSE)</f>
        <v>1 (JASC010)</v>
      </c>
      <c r="E10" s="8">
        <v>850</v>
      </c>
      <c r="F10" s="8">
        <v>50</v>
      </c>
      <c r="G10" s="8">
        <v>0</v>
      </c>
      <c r="H10" s="12" t="s">
        <v>24</v>
      </c>
      <c r="I10" s="9" t="s">
        <v>12</v>
      </c>
      <c r="J10" s="10" t="s">
        <v>11</v>
      </c>
      <c r="K10" s="7" t="s">
        <v>195</v>
      </c>
    </row>
    <row r="11" spans="1:11" hidden="1" x14ac:dyDescent="0.3">
      <c r="A11" s="6">
        <v>9</v>
      </c>
      <c r="B11" s="7" t="s">
        <v>25</v>
      </c>
      <c r="C11" s="6">
        <v>8</v>
      </c>
      <c r="D11" s="7" t="str">
        <f>VLOOKUP(B11,Hoja1!A:C,2,FALSE)</f>
        <v>1 (JASC025)</v>
      </c>
      <c r="E11" s="8">
        <v>500</v>
      </c>
      <c r="F11" s="8">
        <v>0</v>
      </c>
      <c r="G11" s="8">
        <v>0</v>
      </c>
      <c r="H11" s="9" t="s">
        <v>26</v>
      </c>
      <c r="I11" s="10" t="s">
        <v>11</v>
      </c>
      <c r="J11" s="10" t="s">
        <v>11</v>
      </c>
      <c r="K11" s="7" t="s">
        <v>196</v>
      </c>
    </row>
    <row r="12" spans="1:11" hidden="1" x14ac:dyDescent="0.3">
      <c r="A12" s="6">
        <v>10</v>
      </c>
      <c r="B12" s="7" t="s">
        <v>27</v>
      </c>
      <c r="C12" s="6">
        <v>8</v>
      </c>
      <c r="D12" s="7" t="str">
        <f>VLOOKUP(B12,Hoja1!A:C,2,FALSE)</f>
        <v>1 (JASB1GB)</v>
      </c>
      <c r="E12" s="8">
        <v>0</v>
      </c>
      <c r="F12" s="8">
        <v>0</v>
      </c>
      <c r="G12" s="8">
        <v>482</v>
      </c>
      <c r="H12" s="12" t="s">
        <v>24</v>
      </c>
      <c r="I12" s="9" t="s">
        <v>12</v>
      </c>
      <c r="J12" s="10" t="s">
        <v>11</v>
      </c>
      <c r="K12" s="7" t="s">
        <v>195</v>
      </c>
    </row>
    <row r="13" spans="1:11" hidden="1" x14ac:dyDescent="0.3">
      <c r="A13" s="6">
        <v>11</v>
      </c>
      <c r="B13" s="7" t="s">
        <v>28</v>
      </c>
      <c r="C13" s="6">
        <v>8</v>
      </c>
      <c r="D13" s="7" t="str">
        <f>VLOOKUP(B13,Hoja1!A:C,2,FALSE)</f>
        <v>1 (JASC010)</v>
      </c>
      <c r="E13" s="8">
        <v>100</v>
      </c>
      <c r="F13" s="8">
        <v>170</v>
      </c>
      <c r="G13" s="8">
        <v>0</v>
      </c>
      <c r="H13" s="12" t="s">
        <v>24</v>
      </c>
      <c r="I13" s="9" t="s">
        <v>12</v>
      </c>
      <c r="J13" s="10" t="s">
        <v>11</v>
      </c>
      <c r="K13" s="7" t="s">
        <v>195</v>
      </c>
    </row>
    <row r="14" spans="1:11" hidden="1" x14ac:dyDescent="0.3">
      <c r="A14" s="6">
        <v>12</v>
      </c>
      <c r="B14" s="7" t="s">
        <v>29</v>
      </c>
      <c r="C14" s="6">
        <v>8</v>
      </c>
      <c r="D14" s="7" t="str">
        <f>VLOOKUP(B14,Hoja1!A:C,2,FALSE)</f>
        <v>2 (JASC010 y JASC025)</v>
      </c>
      <c r="E14" s="8">
        <v>1050</v>
      </c>
      <c r="F14" s="8">
        <v>0</v>
      </c>
      <c r="G14" s="8">
        <v>0</v>
      </c>
      <c r="H14" s="9" t="s">
        <v>30</v>
      </c>
      <c r="I14" s="10" t="s">
        <v>11</v>
      </c>
      <c r="J14" s="10" t="s">
        <v>11</v>
      </c>
      <c r="K14" s="7" t="s">
        <v>196</v>
      </c>
    </row>
    <row r="15" spans="1:11" hidden="1" x14ac:dyDescent="0.3">
      <c r="A15" s="6">
        <v>13</v>
      </c>
      <c r="B15" s="7" t="s">
        <v>31</v>
      </c>
      <c r="C15" s="6">
        <v>8</v>
      </c>
      <c r="D15" s="7" t="s">
        <v>722</v>
      </c>
      <c r="E15" s="8">
        <v>100</v>
      </c>
      <c r="F15" s="8">
        <v>0</v>
      </c>
      <c r="G15" s="8">
        <v>0</v>
      </c>
      <c r="H15" s="12" t="s">
        <v>24</v>
      </c>
      <c r="I15" s="9" t="s">
        <v>12</v>
      </c>
      <c r="J15" s="10" t="s">
        <v>11</v>
      </c>
      <c r="K15" s="7" t="s">
        <v>195</v>
      </c>
    </row>
    <row r="16" spans="1:11" hidden="1" x14ac:dyDescent="0.3">
      <c r="A16" s="6">
        <v>14</v>
      </c>
      <c r="B16" s="7" t="s">
        <v>32</v>
      </c>
      <c r="C16" s="6">
        <v>8</v>
      </c>
      <c r="D16" s="7" t="str">
        <f>VLOOKUP(B16,Hoja1!A:C,2,FALSE)</f>
        <v>2 (JASC010, JASC025)</v>
      </c>
      <c r="E16" s="8">
        <v>549</v>
      </c>
      <c r="F16" s="8">
        <v>0</v>
      </c>
      <c r="G16" s="8">
        <v>0</v>
      </c>
      <c r="H16" s="9" t="s">
        <v>12</v>
      </c>
      <c r="I16" s="10" t="s">
        <v>11</v>
      </c>
      <c r="J16" s="10" t="s">
        <v>11</v>
      </c>
      <c r="K16" s="7" t="s">
        <v>195</v>
      </c>
    </row>
    <row r="17" spans="1:11" hidden="1" x14ac:dyDescent="0.3">
      <c r="A17" s="6">
        <v>15</v>
      </c>
      <c r="B17" s="7" t="s">
        <v>33</v>
      </c>
      <c r="C17" s="6">
        <v>8</v>
      </c>
      <c r="D17" s="7" t="str">
        <f>VLOOKUP(B17,Hoja1!A:C,2,FALSE)</f>
        <v>2 (JASC010, JASC025)</v>
      </c>
      <c r="E17" s="8">
        <v>350</v>
      </c>
      <c r="F17" s="8">
        <v>0</v>
      </c>
      <c r="G17" s="8">
        <v>0</v>
      </c>
      <c r="H17" s="9" t="s">
        <v>34</v>
      </c>
      <c r="I17" s="10" t="s">
        <v>11</v>
      </c>
      <c r="J17" s="10" t="s">
        <v>11</v>
      </c>
      <c r="K17" s="7" t="s">
        <v>196</v>
      </c>
    </row>
    <row r="18" spans="1:11" hidden="1" x14ac:dyDescent="0.3">
      <c r="A18" s="6">
        <v>16</v>
      </c>
      <c r="B18" s="7" t="s">
        <v>36</v>
      </c>
      <c r="C18" s="6">
        <v>8</v>
      </c>
      <c r="D18" s="7" t="s">
        <v>722</v>
      </c>
      <c r="E18" s="8">
        <v>250</v>
      </c>
      <c r="F18" s="8">
        <v>0</v>
      </c>
      <c r="G18" s="8">
        <v>0</v>
      </c>
      <c r="H18" s="9" t="s">
        <v>37</v>
      </c>
      <c r="I18" s="10" t="s">
        <v>11</v>
      </c>
      <c r="J18" s="10" t="s">
        <v>11</v>
      </c>
      <c r="K18" s="7" t="s">
        <v>196</v>
      </c>
    </row>
    <row r="19" spans="1:11" hidden="1" x14ac:dyDescent="0.3">
      <c r="A19" s="6">
        <v>17</v>
      </c>
      <c r="B19" s="7" t="s">
        <v>38</v>
      </c>
      <c r="C19" s="6">
        <v>8</v>
      </c>
      <c r="D19" s="7" t="str">
        <f>VLOOKUP(B19,Hoja1!A:C,2,FALSE)</f>
        <v>2 (JANU050, JASC010)</v>
      </c>
      <c r="E19" s="8">
        <v>500</v>
      </c>
      <c r="F19" s="8">
        <v>0</v>
      </c>
      <c r="G19" s="8">
        <v>0</v>
      </c>
      <c r="H19" s="12" t="s">
        <v>24</v>
      </c>
      <c r="I19" s="9" t="s">
        <v>12</v>
      </c>
      <c r="J19" s="10" t="s">
        <v>11</v>
      </c>
      <c r="K19" s="7" t="s">
        <v>195</v>
      </c>
    </row>
    <row r="20" spans="1:11" hidden="1" x14ac:dyDescent="0.3">
      <c r="A20" s="6">
        <v>18</v>
      </c>
      <c r="B20" s="7" t="s">
        <v>39</v>
      </c>
      <c r="C20" s="6">
        <v>8</v>
      </c>
      <c r="D20" s="7" t="str">
        <f>VLOOKUP(B20,Hoja1!A:C,2,FALSE)</f>
        <v>3 (JASC010, JASC100, JASC1GB)</v>
      </c>
      <c r="E20" s="8">
        <v>100</v>
      </c>
      <c r="F20" s="8">
        <v>0</v>
      </c>
      <c r="G20" s="8">
        <v>0</v>
      </c>
      <c r="H20" s="9" t="s">
        <v>40</v>
      </c>
      <c r="I20" s="10" t="s">
        <v>11</v>
      </c>
      <c r="J20" s="10" t="s">
        <v>11</v>
      </c>
      <c r="K20" s="7" t="s">
        <v>196</v>
      </c>
    </row>
    <row r="21" spans="1:11" hidden="1" x14ac:dyDescent="0.3">
      <c r="A21" s="6">
        <v>19</v>
      </c>
      <c r="B21" s="7" t="s">
        <v>41</v>
      </c>
      <c r="C21" s="6">
        <v>8</v>
      </c>
      <c r="D21" s="7" t="str">
        <f>VLOOKUP(B21,Hoja1!A:C,2,FALSE)</f>
        <v>1 (JANU0500)</v>
      </c>
      <c r="E21" s="8">
        <v>1015</v>
      </c>
      <c r="F21" s="8">
        <v>0</v>
      </c>
      <c r="G21" s="8">
        <v>0</v>
      </c>
      <c r="H21" s="9" t="s">
        <v>42</v>
      </c>
      <c r="I21" s="10" t="s">
        <v>11</v>
      </c>
      <c r="J21" s="10" t="s">
        <v>11</v>
      </c>
      <c r="K21" s="7" t="s">
        <v>196</v>
      </c>
    </row>
    <row r="22" spans="1:11" hidden="1" x14ac:dyDescent="0.3">
      <c r="A22" s="6">
        <v>20</v>
      </c>
      <c r="B22" s="7" t="s">
        <v>43</v>
      </c>
      <c r="C22" s="6">
        <v>8</v>
      </c>
      <c r="D22" s="7" t="str">
        <f>VLOOKUP(B22,Hoja1!A:C,2,FALSE)</f>
        <v>1 (JASC010)</v>
      </c>
      <c r="E22" s="8">
        <v>300</v>
      </c>
      <c r="F22" s="8">
        <v>0</v>
      </c>
      <c r="G22" s="8">
        <v>0</v>
      </c>
      <c r="H22" s="9" t="s">
        <v>44</v>
      </c>
      <c r="I22" s="10" t="s">
        <v>11</v>
      </c>
      <c r="J22" s="10" t="s">
        <v>11</v>
      </c>
      <c r="K22" s="7" t="s">
        <v>196</v>
      </c>
    </row>
    <row r="23" spans="1:11" hidden="1" x14ac:dyDescent="0.3">
      <c r="A23" s="6">
        <v>21</v>
      </c>
      <c r="B23" s="7" t="s">
        <v>726</v>
      </c>
      <c r="C23" s="6">
        <v>8</v>
      </c>
      <c r="D23" s="7" t="e">
        <f>VLOOKUP(B23,Hoja1!A:C,2,FALSE)</f>
        <v>#N/A</v>
      </c>
      <c r="E23" s="8">
        <v>330</v>
      </c>
      <c r="F23" s="8">
        <v>0</v>
      </c>
      <c r="G23" s="8">
        <v>0</v>
      </c>
      <c r="H23" s="9" t="s">
        <v>45</v>
      </c>
      <c r="I23" s="10" t="s">
        <v>11</v>
      </c>
      <c r="J23" s="10" t="s">
        <v>11</v>
      </c>
      <c r="K23" s="7" t="s">
        <v>196</v>
      </c>
    </row>
    <row r="24" spans="1:11" hidden="1" x14ac:dyDescent="0.3">
      <c r="A24" s="6">
        <v>22</v>
      </c>
      <c r="B24" s="7" t="s">
        <v>46</v>
      </c>
      <c r="C24" s="6">
        <v>8</v>
      </c>
      <c r="D24" s="7" t="str">
        <f>VLOOKUP(B24,Hoja1!A:C,2,FALSE)</f>
        <v>1 (JASC010)</v>
      </c>
      <c r="E24" s="8">
        <v>100</v>
      </c>
      <c r="F24" s="8">
        <v>0</v>
      </c>
      <c r="G24" s="8">
        <v>0</v>
      </c>
      <c r="H24" s="12" t="s">
        <v>24</v>
      </c>
      <c r="I24" s="9" t="s">
        <v>12</v>
      </c>
      <c r="J24" s="10" t="s">
        <v>11</v>
      </c>
      <c r="K24" s="7" t="s">
        <v>195</v>
      </c>
    </row>
    <row r="25" spans="1:11" hidden="1" x14ac:dyDescent="0.3">
      <c r="A25" s="6">
        <v>23</v>
      </c>
      <c r="B25" s="7" t="s">
        <v>47</v>
      </c>
      <c r="C25" s="6">
        <v>8</v>
      </c>
      <c r="D25" s="7" t="str">
        <f>VLOOKUP(B25,Hoja1!A:C,2,FALSE)</f>
        <v>1 (JANU025)</v>
      </c>
      <c r="E25" s="8">
        <v>1611</v>
      </c>
      <c r="F25" s="8">
        <v>100</v>
      </c>
      <c r="G25" s="8">
        <v>0</v>
      </c>
      <c r="H25" s="9" t="s">
        <v>48</v>
      </c>
      <c r="I25" s="10" t="s">
        <v>11</v>
      </c>
      <c r="J25" s="10" t="s">
        <v>11</v>
      </c>
      <c r="K25" s="7" t="s">
        <v>196</v>
      </c>
    </row>
    <row r="26" spans="1:11" hidden="1" x14ac:dyDescent="0.3">
      <c r="A26" s="6">
        <v>24</v>
      </c>
      <c r="B26" s="7" t="s">
        <v>49</v>
      </c>
      <c r="C26" s="6">
        <v>8</v>
      </c>
      <c r="D26" s="7" t="str">
        <f>VLOOKUP(B26,Hoja1!A:C,2,FALSE)</f>
        <v>1 (JANU050)</v>
      </c>
      <c r="E26" s="8">
        <v>100</v>
      </c>
      <c r="F26" s="8">
        <v>0</v>
      </c>
      <c r="G26" s="8">
        <v>0</v>
      </c>
      <c r="H26" s="9" t="s">
        <v>50</v>
      </c>
      <c r="I26" s="10" t="s">
        <v>11</v>
      </c>
      <c r="J26" s="10" t="s">
        <v>11</v>
      </c>
      <c r="K26" s="7" t="s">
        <v>196</v>
      </c>
    </row>
    <row r="27" spans="1:11" hidden="1" x14ac:dyDescent="0.3">
      <c r="A27" s="6">
        <v>25</v>
      </c>
      <c r="B27" s="7" t="s">
        <v>666</v>
      </c>
      <c r="C27" s="6">
        <v>8</v>
      </c>
      <c r="D27" s="7" t="str">
        <f>VLOOKUP(B27,Hoja1!A:C,2,FALSE)</f>
        <v>1 (JASC025)</v>
      </c>
      <c r="E27" s="8">
        <v>550</v>
      </c>
      <c r="F27" s="8">
        <v>0</v>
      </c>
      <c r="G27" s="8">
        <v>0</v>
      </c>
      <c r="H27" s="9" t="s">
        <v>51</v>
      </c>
      <c r="I27" s="10" t="s">
        <v>11</v>
      </c>
      <c r="J27" s="10" t="s">
        <v>11</v>
      </c>
      <c r="K27" s="7" t="s">
        <v>196</v>
      </c>
    </row>
    <row r="28" spans="1:11" hidden="1" x14ac:dyDescent="0.3">
      <c r="A28" s="6">
        <v>26</v>
      </c>
      <c r="B28" s="7" t="s">
        <v>52</v>
      </c>
      <c r="C28" s="6">
        <v>8</v>
      </c>
      <c r="D28" s="7" t="str">
        <f>VLOOKUP(B28,Hoja1!A:C,2,FALSE)</f>
        <v>1 (JASC025)</v>
      </c>
      <c r="E28" s="8">
        <v>1520</v>
      </c>
      <c r="F28" s="8">
        <v>0</v>
      </c>
      <c r="G28" s="8">
        <v>0</v>
      </c>
      <c r="H28" s="9" t="s">
        <v>53</v>
      </c>
      <c r="I28" s="10" t="s">
        <v>11</v>
      </c>
      <c r="J28" s="10" t="s">
        <v>11</v>
      </c>
      <c r="K28" s="7" t="s">
        <v>196</v>
      </c>
    </row>
    <row r="29" spans="1:11" hidden="1" x14ac:dyDescent="0.3">
      <c r="A29" s="6">
        <v>27</v>
      </c>
      <c r="B29" s="7" t="s">
        <v>54</v>
      </c>
      <c r="C29" s="6">
        <v>8</v>
      </c>
      <c r="D29" s="7" t="str">
        <f>VLOOKUP(B29,Hoja1!A:C,2,FALSE)</f>
        <v>1 (JASC010)</v>
      </c>
      <c r="E29" s="8">
        <v>400</v>
      </c>
      <c r="F29" s="8">
        <v>0</v>
      </c>
      <c r="G29" s="8">
        <v>0</v>
      </c>
      <c r="H29" s="9" t="s">
        <v>55</v>
      </c>
      <c r="I29" s="10" t="s">
        <v>11</v>
      </c>
      <c r="J29" s="10" t="s">
        <v>11</v>
      </c>
      <c r="K29" s="7" t="s">
        <v>196</v>
      </c>
    </row>
    <row r="30" spans="1:11" hidden="1" x14ac:dyDescent="0.3">
      <c r="A30" s="6">
        <v>28</v>
      </c>
      <c r="B30" s="7" t="s">
        <v>56</v>
      </c>
      <c r="C30" s="6">
        <v>8</v>
      </c>
      <c r="D30" s="7" t="str">
        <f>VLOOKUP(B30,Hoja1!A:C,2,FALSE)</f>
        <v>1 (JASC010)</v>
      </c>
      <c r="E30" s="8">
        <v>4705</v>
      </c>
      <c r="F30" s="8">
        <v>0</v>
      </c>
      <c r="G30" s="8">
        <v>0</v>
      </c>
      <c r="H30" s="9" t="s">
        <v>57</v>
      </c>
      <c r="I30" s="10" t="s">
        <v>58</v>
      </c>
      <c r="J30" s="10" t="s">
        <v>11</v>
      </c>
      <c r="K30" s="7" t="s">
        <v>196</v>
      </c>
    </row>
    <row r="31" spans="1:11" hidden="1" x14ac:dyDescent="0.3">
      <c r="A31" s="6">
        <v>29</v>
      </c>
      <c r="B31" s="7" t="s">
        <v>59</v>
      </c>
      <c r="C31" s="6">
        <v>8</v>
      </c>
      <c r="D31" s="7" t="str">
        <f>VLOOKUP(B31,Hoja1!A:C,2,FALSE)</f>
        <v>1 (JASC010)</v>
      </c>
      <c r="E31" s="8">
        <v>7700</v>
      </c>
      <c r="F31" s="8">
        <v>0</v>
      </c>
      <c r="G31" s="8">
        <v>0</v>
      </c>
      <c r="H31" s="9" t="s">
        <v>60</v>
      </c>
      <c r="I31" s="9" t="s">
        <v>61</v>
      </c>
      <c r="J31" s="9" t="s">
        <v>12</v>
      </c>
      <c r="K31" s="7" t="s">
        <v>195</v>
      </c>
    </row>
    <row r="32" spans="1:11" hidden="1" x14ac:dyDescent="0.3">
      <c r="A32" s="6">
        <v>30</v>
      </c>
      <c r="B32" s="7" t="s">
        <v>708</v>
      </c>
      <c r="C32" s="6">
        <v>8</v>
      </c>
      <c r="D32" s="7" t="str">
        <f>VLOOKUP(B32,Hoja1!A:C,2,FALSE)</f>
        <v>1 (JASC010)</v>
      </c>
      <c r="E32" s="8">
        <v>350</v>
      </c>
      <c r="F32" s="8">
        <v>0</v>
      </c>
      <c r="G32" s="8">
        <v>0</v>
      </c>
      <c r="H32" s="9" t="s">
        <v>62</v>
      </c>
      <c r="I32" s="9" t="s">
        <v>12</v>
      </c>
      <c r="J32" s="10" t="s">
        <v>11</v>
      </c>
      <c r="K32" s="7" t="s">
        <v>195</v>
      </c>
    </row>
    <row r="33" spans="1:11" hidden="1" x14ac:dyDescent="0.3">
      <c r="A33" s="6">
        <v>31</v>
      </c>
      <c r="B33" s="7" t="s">
        <v>63</v>
      </c>
      <c r="C33" s="6">
        <v>8</v>
      </c>
      <c r="D33" s="7" t="str">
        <f>VLOOKUP(B33,Hoja1!A:C,2,FALSE)</f>
        <v>1 (JASP050)</v>
      </c>
      <c r="E33" s="8">
        <v>2180</v>
      </c>
      <c r="F33" s="8">
        <v>0</v>
      </c>
      <c r="G33" s="8">
        <v>0</v>
      </c>
      <c r="H33" s="9" t="s">
        <v>64</v>
      </c>
      <c r="I33" s="10" t="s">
        <v>11</v>
      </c>
      <c r="J33" s="10" t="s">
        <v>11</v>
      </c>
      <c r="K33" s="7" t="s">
        <v>196</v>
      </c>
    </row>
    <row r="34" spans="1:11" hidden="1" x14ac:dyDescent="0.3">
      <c r="A34" s="6">
        <v>32</v>
      </c>
      <c r="B34" s="7" t="s">
        <v>65</v>
      </c>
      <c r="C34" s="6">
        <v>8</v>
      </c>
      <c r="D34" s="7" t="str">
        <f>VLOOKUP(B34,Hoja1!A:C,2,FALSE)</f>
        <v>1 (JASC010)</v>
      </c>
      <c r="E34" s="8">
        <v>119</v>
      </c>
      <c r="F34" s="8">
        <v>0</v>
      </c>
      <c r="G34" s="8">
        <v>0</v>
      </c>
      <c r="H34" s="9" t="s">
        <v>66</v>
      </c>
      <c r="I34" s="10" t="s">
        <v>11</v>
      </c>
      <c r="J34" s="10" t="s">
        <v>11</v>
      </c>
      <c r="K34" s="7" t="s">
        <v>196</v>
      </c>
    </row>
    <row r="35" spans="1:11" hidden="1" x14ac:dyDescent="0.3">
      <c r="A35" s="6">
        <v>33</v>
      </c>
      <c r="B35" s="7" t="s">
        <v>67</v>
      </c>
      <c r="C35" s="6">
        <v>8</v>
      </c>
      <c r="D35" s="7" t="str">
        <f>VLOOKUP(B35,Hoja1!A:C,2,FALSE)</f>
        <v>3 (JANU050, JASC010, JASC500)</v>
      </c>
      <c r="E35" s="8">
        <v>23004</v>
      </c>
      <c r="F35" s="8">
        <v>0</v>
      </c>
      <c r="G35" s="8">
        <v>0</v>
      </c>
      <c r="H35" s="12" t="s">
        <v>68</v>
      </c>
      <c r="I35" s="9" t="s">
        <v>12</v>
      </c>
      <c r="J35" s="12" t="s">
        <v>68</v>
      </c>
      <c r="K35" s="7" t="s">
        <v>195</v>
      </c>
    </row>
    <row r="36" spans="1:11" hidden="1" x14ac:dyDescent="0.3">
      <c r="A36" s="6">
        <v>34</v>
      </c>
      <c r="B36" s="7" t="s">
        <v>69</v>
      </c>
      <c r="C36" s="6">
        <v>8</v>
      </c>
      <c r="D36" s="7" t="str">
        <f>VLOOKUP(B36,Hoja1!A:C,2,FALSE)</f>
        <v>1 (JASC025)</v>
      </c>
      <c r="E36" s="8">
        <v>11620</v>
      </c>
      <c r="F36" s="8">
        <v>0</v>
      </c>
      <c r="G36" s="8">
        <v>0</v>
      </c>
      <c r="H36" s="9" t="s">
        <v>70</v>
      </c>
      <c r="I36" s="9" t="s">
        <v>71</v>
      </c>
      <c r="J36" s="10" t="s">
        <v>11</v>
      </c>
      <c r="K36" s="7" t="s">
        <v>196</v>
      </c>
    </row>
    <row r="37" spans="1:11" hidden="1" x14ac:dyDescent="0.3">
      <c r="A37" s="6">
        <v>35</v>
      </c>
      <c r="B37" s="7" t="s">
        <v>678</v>
      </c>
      <c r="C37" s="6">
        <v>8</v>
      </c>
      <c r="D37" s="7" t="str">
        <f>VLOOKUP(B37,Hoja1!A:C,2,FALSE)</f>
        <v>3 (JANU050, JASC010, JASC025)</v>
      </c>
      <c r="E37" s="8">
        <v>16374</v>
      </c>
      <c r="F37" s="8">
        <v>0</v>
      </c>
      <c r="G37" s="8">
        <v>0</v>
      </c>
      <c r="H37" s="9" t="s">
        <v>72</v>
      </c>
      <c r="I37" s="9" t="s">
        <v>12</v>
      </c>
      <c r="J37" s="10" t="s">
        <v>11</v>
      </c>
      <c r="K37" s="7" t="s">
        <v>195</v>
      </c>
    </row>
    <row r="38" spans="1:11" hidden="1" x14ac:dyDescent="0.3">
      <c r="A38" s="6">
        <v>36</v>
      </c>
      <c r="B38" s="7" t="s">
        <v>675</v>
      </c>
      <c r="C38" s="6">
        <v>8</v>
      </c>
      <c r="D38" s="7" t="str">
        <f>VLOOKUP(B38,Hoja1!A:C,2,FALSE)</f>
        <v>1 (JASE025)</v>
      </c>
      <c r="E38" s="8">
        <v>8280</v>
      </c>
      <c r="F38" s="8">
        <v>0</v>
      </c>
      <c r="G38" s="8">
        <v>0</v>
      </c>
      <c r="H38" s="9" t="s">
        <v>73</v>
      </c>
      <c r="I38" s="9" t="s">
        <v>12</v>
      </c>
      <c r="J38" s="10" t="s">
        <v>11</v>
      </c>
      <c r="K38" s="7" t="s">
        <v>195</v>
      </c>
    </row>
    <row r="39" spans="1:11" hidden="1" x14ac:dyDescent="0.3">
      <c r="A39" s="6">
        <v>37</v>
      </c>
      <c r="B39" s="7" t="s">
        <v>74</v>
      </c>
      <c r="C39" s="6">
        <v>8</v>
      </c>
      <c r="D39" s="7" t="str">
        <f>VLOOKUP(B39,Hoja1!A:C,2,FALSE)</f>
        <v>1 (JASC025)</v>
      </c>
      <c r="E39" s="8">
        <v>500</v>
      </c>
      <c r="F39" s="8">
        <v>0</v>
      </c>
      <c r="G39" s="8">
        <v>0</v>
      </c>
      <c r="H39" s="9" t="s">
        <v>75</v>
      </c>
      <c r="I39" s="10" t="s">
        <v>11</v>
      </c>
      <c r="J39" s="10" t="s">
        <v>11</v>
      </c>
      <c r="K39" s="7" t="s">
        <v>196</v>
      </c>
    </row>
    <row r="40" spans="1:11" hidden="1" x14ac:dyDescent="0.3">
      <c r="A40" s="6">
        <v>38</v>
      </c>
      <c r="B40" s="7" t="s">
        <v>77</v>
      </c>
      <c r="C40" s="6">
        <v>8</v>
      </c>
      <c r="D40" s="7" t="str">
        <f>VLOOKUP(B40,Hoja1!A:C,2,FALSE)</f>
        <v>1 (JASC010)</v>
      </c>
      <c r="E40" s="8">
        <v>1006</v>
      </c>
      <c r="F40" s="8">
        <v>0</v>
      </c>
      <c r="G40" s="8">
        <v>0</v>
      </c>
      <c r="H40" s="9" t="s">
        <v>78</v>
      </c>
      <c r="I40" s="10" t="s">
        <v>11</v>
      </c>
      <c r="J40" s="10" t="s">
        <v>11</v>
      </c>
      <c r="K40" s="7" t="s">
        <v>196</v>
      </c>
    </row>
    <row r="41" spans="1:11" hidden="1" x14ac:dyDescent="0.3">
      <c r="A41" s="6">
        <v>39</v>
      </c>
      <c r="B41" s="7" t="s">
        <v>79</v>
      </c>
      <c r="C41" s="6">
        <v>8</v>
      </c>
      <c r="D41" s="7" t="str">
        <f>VLOOKUP(B41,Hoja1!A:C,2,FALSE)</f>
        <v>1 (JASC025)</v>
      </c>
      <c r="E41" s="8">
        <v>225</v>
      </c>
      <c r="F41" s="8">
        <v>0</v>
      </c>
      <c r="G41" s="8">
        <v>0</v>
      </c>
      <c r="H41" s="9" t="s">
        <v>80</v>
      </c>
      <c r="I41" s="10" t="s">
        <v>11</v>
      </c>
      <c r="J41" s="10" t="s">
        <v>11</v>
      </c>
      <c r="K41" s="7" t="s">
        <v>196</v>
      </c>
    </row>
    <row r="42" spans="1:11" x14ac:dyDescent="0.3">
      <c r="A42" s="6">
        <v>40</v>
      </c>
      <c r="B42" s="7" t="s">
        <v>81</v>
      </c>
      <c r="C42" s="6">
        <v>8</v>
      </c>
      <c r="D42" s="7" t="str">
        <f>VLOOKUP(B42,Hoja1!A:C,2,FALSE)</f>
        <v>2 (JAGC1GB y JASN010)</v>
      </c>
      <c r="E42" s="8">
        <v>486</v>
      </c>
      <c r="F42" s="8">
        <v>0</v>
      </c>
      <c r="G42" s="8">
        <v>0</v>
      </c>
      <c r="H42" s="9" t="s">
        <v>82</v>
      </c>
      <c r="I42" s="10" t="s">
        <v>11</v>
      </c>
      <c r="J42" s="10" t="s">
        <v>11</v>
      </c>
      <c r="K42" s="7" t="s">
        <v>196</v>
      </c>
    </row>
    <row r="43" spans="1:11" hidden="1" x14ac:dyDescent="0.3">
      <c r="A43" s="6">
        <v>41</v>
      </c>
      <c r="B43" s="7" t="s">
        <v>84</v>
      </c>
      <c r="C43" s="6">
        <v>8</v>
      </c>
      <c r="D43" s="7" t="str">
        <f>VLOOKUP(B43,Hoja1!A:C,2,FALSE)</f>
        <v>3 (JASC025, JASC010, JANU050)</v>
      </c>
      <c r="E43" s="8">
        <v>1350</v>
      </c>
      <c r="F43" s="8">
        <v>0</v>
      </c>
      <c r="G43" s="8">
        <v>0</v>
      </c>
      <c r="H43" s="9" t="s">
        <v>85</v>
      </c>
      <c r="I43" s="10" t="s">
        <v>11</v>
      </c>
      <c r="J43" s="10" t="s">
        <v>11</v>
      </c>
      <c r="K43" s="7" t="s">
        <v>196</v>
      </c>
    </row>
    <row r="44" spans="1:11" hidden="1" x14ac:dyDescent="0.3">
      <c r="A44" s="6">
        <v>42</v>
      </c>
      <c r="B44" s="7" t="s">
        <v>725</v>
      </c>
      <c r="C44" s="6">
        <v>8</v>
      </c>
      <c r="D44" s="7" t="e">
        <f>VLOOKUP(B44,Hoja1!A:C,2,FALSE)</f>
        <v>#N/A</v>
      </c>
      <c r="E44" s="8">
        <v>185</v>
      </c>
      <c r="F44" s="8">
        <v>0</v>
      </c>
      <c r="G44" s="8">
        <v>0</v>
      </c>
      <c r="H44" s="9" t="s">
        <v>86</v>
      </c>
      <c r="I44" s="10" t="s">
        <v>11</v>
      </c>
      <c r="J44" s="10" t="s">
        <v>11</v>
      </c>
      <c r="K44" s="7" t="s">
        <v>196</v>
      </c>
    </row>
    <row r="45" spans="1:11" hidden="1" x14ac:dyDescent="0.3">
      <c r="A45" s="6">
        <v>43</v>
      </c>
      <c r="B45" s="7" t="s">
        <v>695</v>
      </c>
      <c r="C45" s="6">
        <v>8</v>
      </c>
      <c r="D45" s="7" t="str">
        <f>VLOOKUP(B45,Hoja1!A:C,2,FALSE)</f>
        <v>2 (JASC010, JASL010)</v>
      </c>
      <c r="E45" s="8">
        <v>0</v>
      </c>
      <c r="F45" s="8">
        <v>0</v>
      </c>
      <c r="G45" s="8">
        <v>0</v>
      </c>
      <c r="H45" s="12" t="s">
        <v>83</v>
      </c>
      <c r="I45" s="9" t="s">
        <v>12</v>
      </c>
      <c r="J45" s="10" t="s">
        <v>11</v>
      </c>
      <c r="K45" s="7" t="s">
        <v>195</v>
      </c>
    </row>
    <row r="46" spans="1:11" hidden="1" x14ac:dyDescent="0.3">
      <c r="A46" s="6">
        <v>44</v>
      </c>
      <c r="B46" s="7" t="s">
        <v>88</v>
      </c>
      <c r="C46" s="6">
        <v>8</v>
      </c>
      <c r="D46" s="7" t="str">
        <f>VLOOKUP(B46,Hoja1!A:C,2,FALSE)</f>
        <v>1 (JSAC010)</v>
      </c>
      <c r="E46" s="8">
        <v>805</v>
      </c>
      <c r="F46" s="8">
        <v>0</v>
      </c>
      <c r="G46" s="8">
        <v>0</v>
      </c>
      <c r="H46" s="9" t="s">
        <v>89</v>
      </c>
      <c r="I46" s="10" t="s">
        <v>11</v>
      </c>
      <c r="J46" s="10" t="s">
        <v>11</v>
      </c>
      <c r="K46" s="7" t="s">
        <v>196</v>
      </c>
    </row>
    <row r="47" spans="1:11" hidden="1" x14ac:dyDescent="0.3">
      <c r="A47" s="6">
        <v>45</v>
      </c>
      <c r="B47" s="7" t="s">
        <v>90</v>
      </c>
      <c r="C47" s="6">
        <v>8</v>
      </c>
      <c r="D47" s="7" t="str">
        <f>VLOOKUP(B47,Hoja1!A:C,2,FALSE)</f>
        <v>3 (JASC025, JARA050, JANU050)</v>
      </c>
      <c r="E47" s="8">
        <v>1905</v>
      </c>
      <c r="F47" s="8">
        <v>0</v>
      </c>
      <c r="G47" s="8">
        <v>0</v>
      </c>
      <c r="H47" s="9" t="s">
        <v>91</v>
      </c>
      <c r="I47" s="9" t="s">
        <v>12</v>
      </c>
      <c r="J47" s="10" t="s">
        <v>11</v>
      </c>
      <c r="K47" s="7" t="s">
        <v>195</v>
      </c>
    </row>
    <row r="48" spans="1:11" hidden="1" x14ac:dyDescent="0.3">
      <c r="A48" s="6">
        <v>46</v>
      </c>
      <c r="B48" s="7" t="s">
        <v>92</v>
      </c>
      <c r="C48" s="6">
        <v>8</v>
      </c>
      <c r="D48" s="7" t="str">
        <f>VLOOKUP(B48,Hoja1!A:C,2,FALSE)</f>
        <v>1 (JASC010)</v>
      </c>
      <c r="E48" s="8">
        <v>3090</v>
      </c>
      <c r="F48" s="8">
        <v>0</v>
      </c>
      <c r="G48" s="8">
        <v>0</v>
      </c>
      <c r="H48" s="9" t="s">
        <v>93</v>
      </c>
      <c r="I48" s="10" t="s">
        <v>11</v>
      </c>
      <c r="J48" s="10" t="s">
        <v>11</v>
      </c>
      <c r="K48" s="7" t="s">
        <v>196</v>
      </c>
    </row>
    <row r="49" spans="1:11" hidden="1" x14ac:dyDescent="0.3">
      <c r="A49" s="6">
        <v>47</v>
      </c>
      <c r="B49" s="7" t="s">
        <v>94</v>
      </c>
      <c r="C49" s="6">
        <v>8</v>
      </c>
      <c r="D49" s="7" t="str">
        <f>VLOOKUP(B49,Hoja1!A:C,2,FALSE)</f>
        <v>1 (JASC025)</v>
      </c>
      <c r="E49" s="8">
        <v>100</v>
      </c>
      <c r="F49" s="8">
        <v>0</v>
      </c>
      <c r="G49" s="8">
        <v>0</v>
      </c>
      <c r="H49" s="9" t="s">
        <v>12</v>
      </c>
      <c r="I49" s="10" t="s">
        <v>11</v>
      </c>
      <c r="J49" s="10" t="s">
        <v>11</v>
      </c>
      <c r="K49" s="7" t="s">
        <v>195</v>
      </c>
    </row>
    <row r="50" spans="1:11" hidden="1" x14ac:dyDescent="0.3">
      <c r="A50" s="6">
        <v>48</v>
      </c>
      <c r="B50" s="7" t="s">
        <v>95</v>
      </c>
      <c r="C50" s="6">
        <v>8</v>
      </c>
      <c r="D50" s="7" t="str">
        <f>VLOOKUP(B50,Hoja1!A:C,2,FALSE)</f>
        <v>1 (JASC010)</v>
      </c>
      <c r="E50" s="8">
        <v>1058</v>
      </c>
      <c r="F50" s="8">
        <v>0</v>
      </c>
      <c r="G50" s="8">
        <v>0</v>
      </c>
      <c r="H50" s="9" t="s">
        <v>96</v>
      </c>
      <c r="I50" s="10" t="s">
        <v>11</v>
      </c>
      <c r="J50" s="10" t="s">
        <v>11</v>
      </c>
      <c r="K50" s="7" t="s">
        <v>196</v>
      </c>
    </row>
    <row r="51" spans="1:11" hidden="1" x14ac:dyDescent="0.3">
      <c r="A51" s="6">
        <v>49</v>
      </c>
      <c r="B51" s="7" t="s">
        <v>97</v>
      </c>
      <c r="C51" s="6">
        <v>8</v>
      </c>
      <c r="D51" s="7" t="str">
        <f>VLOOKUP(B51,Hoja1!A:C,2,FALSE)</f>
        <v>2 (JANU050, JASC010)</v>
      </c>
      <c r="E51" s="8">
        <v>305</v>
      </c>
      <c r="F51" s="8">
        <v>0</v>
      </c>
      <c r="G51" s="8">
        <v>0</v>
      </c>
      <c r="H51" s="9" t="s">
        <v>98</v>
      </c>
      <c r="I51" s="10" t="s">
        <v>11</v>
      </c>
      <c r="J51" s="10" t="s">
        <v>11</v>
      </c>
      <c r="K51" s="7" t="s">
        <v>196</v>
      </c>
    </row>
    <row r="52" spans="1:11" hidden="1" x14ac:dyDescent="0.3">
      <c r="A52" s="6">
        <v>50</v>
      </c>
      <c r="B52" s="7" t="s">
        <v>682</v>
      </c>
      <c r="C52" s="6">
        <v>8</v>
      </c>
      <c r="D52" s="7" t="str">
        <f>VLOOKUP(B52,Hoja1!A:C,2,FALSE)</f>
        <v>1 (JASC010)</v>
      </c>
      <c r="E52" s="8">
        <v>920</v>
      </c>
      <c r="F52" s="8">
        <v>0</v>
      </c>
      <c r="G52" s="8">
        <v>0</v>
      </c>
      <c r="H52" s="9" t="s">
        <v>100</v>
      </c>
      <c r="I52" s="10" t="s">
        <v>11</v>
      </c>
      <c r="J52" s="10" t="s">
        <v>11</v>
      </c>
      <c r="K52" s="7" t="s">
        <v>196</v>
      </c>
    </row>
    <row r="53" spans="1:11" hidden="1" x14ac:dyDescent="0.3">
      <c r="A53" s="6">
        <v>51</v>
      </c>
      <c r="B53" s="7" t="s">
        <v>101</v>
      </c>
      <c r="C53" s="6">
        <v>8</v>
      </c>
      <c r="D53" s="7" t="str">
        <f>VLOOKUP(B53,Hoja1!A:C,2,FALSE)</f>
        <v>1 (JASC010)</v>
      </c>
      <c r="E53" s="8">
        <v>2060</v>
      </c>
      <c r="F53" s="8">
        <v>200</v>
      </c>
      <c r="G53" s="8">
        <v>0</v>
      </c>
      <c r="H53" s="9" t="s">
        <v>102</v>
      </c>
      <c r="I53" s="10" t="s">
        <v>12</v>
      </c>
      <c r="J53" s="10" t="s">
        <v>11</v>
      </c>
      <c r="K53" s="7" t="s">
        <v>195</v>
      </c>
    </row>
    <row r="54" spans="1:11" hidden="1" x14ac:dyDescent="0.3">
      <c r="A54" s="6">
        <v>52</v>
      </c>
      <c r="B54" s="7" t="s">
        <v>103</v>
      </c>
      <c r="C54" s="6">
        <v>8</v>
      </c>
      <c r="D54" s="7" t="str">
        <f>VLOOKUP(B54,Hoja1!A:C,2,FALSE)</f>
        <v>3 (JANU050,JASC010,JASC025)</v>
      </c>
      <c r="E54" s="8">
        <v>320</v>
      </c>
      <c r="F54" s="8">
        <v>0</v>
      </c>
      <c r="G54" s="8">
        <v>0</v>
      </c>
      <c r="H54" s="9" t="s">
        <v>104</v>
      </c>
      <c r="I54" s="9" t="s">
        <v>12</v>
      </c>
      <c r="J54" s="10" t="s">
        <v>11</v>
      </c>
      <c r="K54" s="7" t="s">
        <v>195</v>
      </c>
    </row>
    <row r="55" spans="1:11" hidden="1" x14ac:dyDescent="0.3">
      <c r="A55" s="6">
        <v>53</v>
      </c>
      <c r="B55" s="7" t="s">
        <v>105</v>
      </c>
      <c r="C55" s="6">
        <v>8</v>
      </c>
      <c r="D55" s="7" t="str">
        <f>VLOOKUP(B55,Hoja1!A:C,2,FALSE)</f>
        <v>1 (JASC100)</v>
      </c>
      <c r="E55" s="8">
        <v>300</v>
      </c>
      <c r="F55" s="8">
        <v>0</v>
      </c>
      <c r="G55" s="8">
        <v>0</v>
      </c>
      <c r="H55" s="9" t="s">
        <v>12</v>
      </c>
      <c r="I55" s="10" t="s">
        <v>11</v>
      </c>
      <c r="J55" s="10" t="s">
        <v>11</v>
      </c>
      <c r="K55" s="7" t="s">
        <v>195</v>
      </c>
    </row>
    <row r="56" spans="1:11" hidden="1" x14ac:dyDescent="0.3">
      <c r="A56" s="6">
        <v>54</v>
      </c>
      <c r="B56" s="7" t="s">
        <v>106</v>
      </c>
      <c r="C56" s="6">
        <v>8</v>
      </c>
      <c r="D56" s="7" t="str">
        <f>VLOOKUP(B56,Hoja1!A:C,2,FALSE)</f>
        <v>1 (JASC010)</v>
      </c>
      <c r="E56" s="8">
        <v>350</v>
      </c>
      <c r="F56" s="8">
        <v>0</v>
      </c>
      <c r="G56" s="8">
        <v>0</v>
      </c>
      <c r="H56" s="9" t="s">
        <v>12</v>
      </c>
      <c r="I56" s="10" t="s">
        <v>11</v>
      </c>
      <c r="J56" s="10" t="s">
        <v>11</v>
      </c>
      <c r="K56" s="7" t="s">
        <v>195</v>
      </c>
    </row>
    <row r="57" spans="1:11" hidden="1" x14ac:dyDescent="0.3">
      <c r="A57" s="6">
        <v>55</v>
      </c>
      <c r="B57" s="7" t="s">
        <v>688</v>
      </c>
      <c r="C57" s="6">
        <v>8</v>
      </c>
      <c r="D57" s="7" t="str">
        <f>VLOOKUP(B57,Hoja1!A:C,2,FALSE)</f>
        <v>3 (JASC010, JASC025, JASC1GB)</v>
      </c>
      <c r="E57" s="8">
        <v>19657</v>
      </c>
      <c r="F57" s="8">
        <v>0</v>
      </c>
      <c r="G57" s="8">
        <v>0</v>
      </c>
      <c r="H57" s="9" t="s">
        <v>108</v>
      </c>
      <c r="I57" s="9" t="s">
        <v>12</v>
      </c>
      <c r="J57" s="10" t="s">
        <v>11</v>
      </c>
      <c r="K57" s="7" t="s">
        <v>195</v>
      </c>
    </row>
    <row r="58" spans="1:11" hidden="1" x14ac:dyDescent="0.3">
      <c r="A58" s="6">
        <v>56</v>
      </c>
      <c r="B58" s="7" t="s">
        <v>109</v>
      </c>
      <c r="C58" s="6">
        <v>8</v>
      </c>
      <c r="D58" s="7" t="str">
        <f>VLOOKUP(B58,Hoja1!A:C,2,FALSE)</f>
        <v>1 (JASC010)</v>
      </c>
      <c r="E58" s="8">
        <v>200</v>
      </c>
      <c r="F58" s="8">
        <v>0</v>
      </c>
      <c r="G58" s="8">
        <v>0</v>
      </c>
      <c r="H58" s="9" t="s">
        <v>12</v>
      </c>
      <c r="I58" s="10" t="s">
        <v>11</v>
      </c>
      <c r="J58" s="10" t="s">
        <v>11</v>
      </c>
      <c r="K58" s="7" t="s">
        <v>195</v>
      </c>
    </row>
    <row r="59" spans="1:11" hidden="1" x14ac:dyDescent="0.3">
      <c r="A59" s="6">
        <v>57</v>
      </c>
      <c r="B59" s="7" t="s">
        <v>714</v>
      </c>
      <c r="C59" s="6">
        <v>8</v>
      </c>
      <c r="D59" s="7" t="str">
        <f>VLOOKUP(B59,Hoja1!A:C,2,FALSE)</f>
        <v>1 (meli25m)</v>
      </c>
      <c r="E59" s="8">
        <v>159157</v>
      </c>
      <c r="F59" s="8">
        <v>3</v>
      </c>
      <c r="G59" s="8">
        <v>0</v>
      </c>
      <c r="H59" s="9" t="s">
        <v>12</v>
      </c>
      <c r="I59" s="10" t="s">
        <v>11</v>
      </c>
      <c r="J59" s="10" t="s">
        <v>11</v>
      </c>
      <c r="K59" s="7" t="s">
        <v>195</v>
      </c>
    </row>
    <row r="60" spans="1:11" hidden="1" x14ac:dyDescent="0.3">
      <c r="A60" s="6">
        <v>58</v>
      </c>
      <c r="B60" s="7" t="s">
        <v>111</v>
      </c>
      <c r="C60" s="6">
        <v>8</v>
      </c>
      <c r="D60" s="7" t="str">
        <f>VLOOKUP(B60,Hoja1!A:C,2,FALSE)</f>
        <v>2 (JANU010, JASC025)</v>
      </c>
      <c r="E60" s="8">
        <v>28500</v>
      </c>
      <c r="F60" s="8">
        <v>1510</v>
      </c>
      <c r="G60" s="8">
        <v>0</v>
      </c>
      <c r="H60" s="9" t="s">
        <v>35</v>
      </c>
      <c r="I60" s="10" t="s">
        <v>11</v>
      </c>
      <c r="J60" s="10" t="s">
        <v>11</v>
      </c>
      <c r="K60" s="7" t="s">
        <v>196</v>
      </c>
    </row>
    <row r="61" spans="1:11" hidden="1" x14ac:dyDescent="0.3">
      <c r="A61" s="6">
        <v>59</v>
      </c>
      <c r="B61" s="7" t="s">
        <v>112</v>
      </c>
      <c r="C61" s="6">
        <v>8</v>
      </c>
      <c r="D61" s="7" t="str">
        <f>VLOOKUP(B61,Hoja1!A:C,2,FALSE)</f>
        <v>2 (JASC010, JASC025)</v>
      </c>
      <c r="E61" s="8">
        <v>650</v>
      </c>
      <c r="F61" s="8">
        <v>0</v>
      </c>
      <c r="G61" s="8">
        <v>0</v>
      </c>
      <c r="H61" s="9" t="s">
        <v>113</v>
      </c>
      <c r="I61" s="10" t="s">
        <v>11</v>
      </c>
      <c r="J61" s="10" t="s">
        <v>11</v>
      </c>
      <c r="K61" s="7" t="s">
        <v>196</v>
      </c>
    </row>
    <row r="62" spans="1:11" hidden="1" x14ac:dyDescent="0.3">
      <c r="A62" s="6">
        <v>60</v>
      </c>
      <c r="B62" s="7" t="s">
        <v>114</v>
      </c>
      <c r="C62" s="6">
        <v>8</v>
      </c>
      <c r="D62" s="7" t="str">
        <f>VLOOKUP(B62,Hoja1!A:C,2,FALSE)</f>
        <v>1 (JASC025)</v>
      </c>
      <c r="E62" s="8">
        <v>300</v>
      </c>
      <c r="F62" s="8">
        <v>0</v>
      </c>
      <c r="G62" s="8">
        <v>0</v>
      </c>
      <c r="H62" s="9" t="s">
        <v>12</v>
      </c>
      <c r="I62" s="10" t="s">
        <v>11</v>
      </c>
      <c r="J62" s="10" t="s">
        <v>11</v>
      </c>
      <c r="K62" s="7" t="s">
        <v>195</v>
      </c>
    </row>
    <row r="63" spans="1:11" hidden="1" x14ac:dyDescent="0.3">
      <c r="A63" s="6">
        <v>61</v>
      </c>
      <c r="B63" s="7" t="s">
        <v>115</v>
      </c>
      <c r="C63" s="6">
        <v>8</v>
      </c>
      <c r="D63" s="7" t="str">
        <f>VLOOKUP(B63,Hoja1!A:C,2,FALSE)</f>
        <v>1 (JASC010)</v>
      </c>
      <c r="E63" s="8">
        <v>350</v>
      </c>
      <c r="F63" s="8">
        <v>0</v>
      </c>
      <c r="G63" s="8">
        <v>0</v>
      </c>
      <c r="H63" s="12" t="s">
        <v>116</v>
      </c>
      <c r="I63" s="10" t="s">
        <v>11</v>
      </c>
      <c r="J63" s="10" t="s">
        <v>11</v>
      </c>
      <c r="K63" s="7" t="s">
        <v>196</v>
      </c>
    </row>
    <row r="64" spans="1:11" hidden="1" x14ac:dyDescent="0.3">
      <c r="A64" s="6">
        <v>62</v>
      </c>
      <c r="B64" s="7" t="s">
        <v>117</v>
      </c>
      <c r="C64" s="6">
        <v>8</v>
      </c>
      <c r="D64" s="7" t="str">
        <f>VLOOKUP(B64,Hoja1!A:C,2,FALSE)</f>
        <v>1 (JASC025)</v>
      </c>
      <c r="E64" s="8">
        <v>745</v>
      </c>
      <c r="F64" s="8">
        <v>0</v>
      </c>
      <c r="G64" s="8">
        <v>0</v>
      </c>
      <c r="H64" s="12" t="s">
        <v>24</v>
      </c>
      <c r="I64" s="9" t="s">
        <v>12</v>
      </c>
      <c r="J64" s="10" t="s">
        <v>11</v>
      </c>
      <c r="K64" s="7" t="s">
        <v>195</v>
      </c>
    </row>
    <row r="65" spans="1:11" hidden="1" x14ac:dyDescent="0.3">
      <c r="A65" s="6">
        <v>63</v>
      </c>
      <c r="B65" s="7" t="s">
        <v>118</v>
      </c>
      <c r="C65" s="6">
        <v>8</v>
      </c>
      <c r="D65" s="7" t="s">
        <v>723</v>
      </c>
      <c r="E65" s="8">
        <v>0</v>
      </c>
      <c r="F65" s="8">
        <v>0</v>
      </c>
      <c r="G65" s="8">
        <v>16000</v>
      </c>
      <c r="H65" s="9" t="s">
        <v>12</v>
      </c>
      <c r="I65" s="10" t="s">
        <v>11</v>
      </c>
      <c r="J65" s="10" t="s">
        <v>11</v>
      </c>
      <c r="K65" s="7" t="s">
        <v>195</v>
      </c>
    </row>
    <row r="66" spans="1:11" hidden="1" x14ac:dyDescent="0.3">
      <c r="A66" s="6">
        <v>64</v>
      </c>
      <c r="B66" s="7" t="s">
        <v>119</v>
      </c>
      <c r="C66" s="6">
        <v>8</v>
      </c>
      <c r="D66" s="7" t="str">
        <f>VLOOKUP(B66,Hoja1!A:C,2,FALSE)</f>
        <v>4 (SUBE050, JANS025, JANS050, JAP0500)</v>
      </c>
      <c r="E66" s="8">
        <v>2905</v>
      </c>
      <c r="F66" s="8">
        <v>0</v>
      </c>
      <c r="G66" s="8">
        <v>0</v>
      </c>
      <c r="H66" s="9" t="s">
        <v>120</v>
      </c>
      <c r="I66" s="10" t="s">
        <v>11</v>
      </c>
      <c r="J66" s="10" t="s">
        <v>11</v>
      </c>
      <c r="K66" s="7" t="s">
        <v>196</v>
      </c>
    </row>
    <row r="67" spans="1:11" hidden="1" x14ac:dyDescent="0.3">
      <c r="A67" s="6">
        <v>65</v>
      </c>
      <c r="B67" s="7" t="s">
        <v>121</v>
      </c>
      <c r="C67" s="6">
        <v>8</v>
      </c>
      <c r="D67" s="7" t="s">
        <v>724</v>
      </c>
      <c r="E67" s="8">
        <v>0</v>
      </c>
      <c r="F67" s="8">
        <v>0</v>
      </c>
      <c r="G67" s="8">
        <v>40700</v>
      </c>
      <c r="H67" s="12" t="s">
        <v>24</v>
      </c>
      <c r="I67" s="10" t="s">
        <v>11</v>
      </c>
      <c r="J67" s="10" t="s">
        <v>11</v>
      </c>
      <c r="K67" s="7" t="s">
        <v>196</v>
      </c>
    </row>
    <row r="68" spans="1:11" hidden="1" x14ac:dyDescent="0.3">
      <c r="A68" s="6">
        <v>66</v>
      </c>
      <c r="B68" s="7" t="s">
        <v>122</v>
      </c>
      <c r="C68" s="6">
        <v>8</v>
      </c>
      <c r="D68" s="7" t="str">
        <f>VLOOKUP(B68,Hoja1!A:C,2,FALSE)</f>
        <v>1 (JASC010)</v>
      </c>
      <c r="E68" s="8">
        <v>1300</v>
      </c>
      <c r="F68" s="8">
        <v>0</v>
      </c>
      <c r="G68" s="8">
        <v>0</v>
      </c>
      <c r="H68" s="9" t="s">
        <v>123</v>
      </c>
      <c r="I68" s="9" t="s">
        <v>12</v>
      </c>
      <c r="J68" s="10" t="s">
        <v>11</v>
      </c>
      <c r="K68" s="7" t="s">
        <v>195</v>
      </c>
    </row>
    <row r="69" spans="1:11" hidden="1" x14ac:dyDescent="0.3">
      <c r="A69" s="6">
        <v>67</v>
      </c>
      <c r="B69" s="7" t="s">
        <v>124</v>
      </c>
      <c r="C69" s="6">
        <v>8</v>
      </c>
      <c r="D69" s="7" t="str">
        <f>VLOOKUP(B69,Hoja1!A:C,2,FALSE)</f>
        <v>1 (JASC010)</v>
      </c>
      <c r="E69" s="8">
        <v>1405</v>
      </c>
      <c r="F69" s="8">
        <v>0</v>
      </c>
      <c r="G69" s="8">
        <v>0</v>
      </c>
      <c r="H69" s="9" t="s">
        <v>125</v>
      </c>
      <c r="I69" s="10" t="s">
        <v>11</v>
      </c>
      <c r="J69" s="10" t="s">
        <v>11</v>
      </c>
      <c r="K69" s="7" t="s">
        <v>196</v>
      </c>
    </row>
    <row r="70" spans="1:11" hidden="1" x14ac:dyDescent="0.3">
      <c r="A70" s="6">
        <v>68</v>
      </c>
      <c r="B70" s="7" t="s">
        <v>126</v>
      </c>
      <c r="C70" s="6">
        <v>8</v>
      </c>
      <c r="D70" s="7" t="str">
        <f>VLOOKUP(B70,Hoja1!A:C,2,FALSE)</f>
        <v>1 (LOJ015+)</v>
      </c>
      <c r="E70" s="8">
        <v>501196</v>
      </c>
      <c r="F70" s="8">
        <v>0</v>
      </c>
      <c r="G70" s="8">
        <v>102085</v>
      </c>
      <c r="H70" s="9" t="s">
        <v>127</v>
      </c>
      <c r="I70" s="12" t="s">
        <v>24</v>
      </c>
      <c r="J70" s="10" t="s">
        <v>11</v>
      </c>
      <c r="K70" s="7" t="s">
        <v>196</v>
      </c>
    </row>
    <row r="71" spans="1:11" hidden="1" x14ac:dyDescent="0.3">
      <c r="A71" s="6">
        <v>69</v>
      </c>
      <c r="B71" s="7" t="s">
        <v>128</v>
      </c>
      <c r="C71" s="6">
        <v>8</v>
      </c>
      <c r="D71" s="7" t="str">
        <f>VLOOKUP(B71,Hoja1!A:C,2,FALSE)</f>
        <v>1 (JASC010)</v>
      </c>
      <c r="E71" s="8">
        <v>505</v>
      </c>
      <c r="F71" s="8">
        <v>150</v>
      </c>
      <c r="G71" s="8">
        <v>0</v>
      </c>
      <c r="H71" s="9" t="s">
        <v>129</v>
      </c>
      <c r="I71" s="10" t="s">
        <v>11</v>
      </c>
      <c r="J71" s="10" t="s">
        <v>11</v>
      </c>
      <c r="K71" s="7" t="s">
        <v>196</v>
      </c>
    </row>
    <row r="72" spans="1:11" hidden="1" x14ac:dyDescent="0.3">
      <c r="A72" s="6">
        <v>70</v>
      </c>
      <c r="B72" s="7" t="s">
        <v>130</v>
      </c>
      <c r="C72" s="6">
        <v>8</v>
      </c>
      <c r="D72" s="7" t="str">
        <f>VLOOKUP(B72,Hoja1!A:C,2,FALSE)</f>
        <v>1 (JASC025)</v>
      </c>
      <c r="E72" s="8">
        <v>600</v>
      </c>
      <c r="F72" s="8">
        <v>0</v>
      </c>
      <c r="G72" s="8">
        <v>0</v>
      </c>
      <c r="H72" s="9" t="s">
        <v>12</v>
      </c>
      <c r="I72" s="10" t="s">
        <v>11</v>
      </c>
      <c r="J72" s="10" t="s">
        <v>11</v>
      </c>
      <c r="K72" s="7" t="s">
        <v>195</v>
      </c>
    </row>
    <row r="73" spans="1:11" hidden="1" x14ac:dyDescent="0.3">
      <c r="A73" s="6">
        <v>71</v>
      </c>
      <c r="B73" s="7" t="s">
        <v>636</v>
      </c>
      <c r="C73" s="6">
        <v>8</v>
      </c>
      <c r="D73" s="7" t="str">
        <f>VLOOKUP(B73,Hoja1!A:C,2,FALSE)</f>
        <v>1 (JASC010)</v>
      </c>
      <c r="E73" s="8">
        <v>200</v>
      </c>
      <c r="F73" s="8">
        <v>0</v>
      </c>
      <c r="G73" s="8">
        <v>0</v>
      </c>
      <c r="H73" s="9" t="s">
        <v>131</v>
      </c>
      <c r="I73" s="10" t="s">
        <v>11</v>
      </c>
      <c r="J73" s="10" t="s">
        <v>11</v>
      </c>
      <c r="K73" s="7" t="s">
        <v>196</v>
      </c>
    </row>
    <row r="74" spans="1:11" hidden="1" x14ac:dyDescent="0.3">
      <c r="A74" s="6">
        <v>72</v>
      </c>
      <c r="B74" s="7" t="s">
        <v>132</v>
      </c>
      <c r="C74" s="6">
        <v>8</v>
      </c>
      <c r="D74" s="7" t="str">
        <f>VLOOKUP(B74,Hoja1!A:C,2,FALSE)</f>
        <v>1 (JASI010)</v>
      </c>
      <c r="E74" s="8">
        <v>15275</v>
      </c>
      <c r="F74" s="8">
        <v>2050</v>
      </c>
      <c r="G74" s="8">
        <v>0</v>
      </c>
      <c r="H74" s="9" t="s">
        <v>133</v>
      </c>
      <c r="I74" s="9" t="s">
        <v>12</v>
      </c>
      <c r="J74" s="10" t="s">
        <v>11</v>
      </c>
      <c r="K74" s="7" t="s">
        <v>195</v>
      </c>
    </row>
    <row r="75" spans="1:11" hidden="1" x14ac:dyDescent="0.3">
      <c r="A75" s="6">
        <v>73</v>
      </c>
      <c r="B75" s="7" t="s">
        <v>135</v>
      </c>
      <c r="C75" s="6">
        <v>8</v>
      </c>
      <c r="D75" s="7" t="str">
        <f>VLOOKUP(B75,Hoja1!A:C,2,FALSE)</f>
        <v>2 (JASC010, JASC025)</v>
      </c>
      <c r="E75" s="8">
        <v>2890</v>
      </c>
      <c r="F75" s="8">
        <v>0</v>
      </c>
      <c r="G75" s="8">
        <v>0</v>
      </c>
      <c r="H75" s="9" t="s">
        <v>136</v>
      </c>
      <c r="I75" s="10" t="s">
        <v>11</v>
      </c>
      <c r="J75" s="10" t="s">
        <v>11</v>
      </c>
      <c r="K75" s="7" t="s">
        <v>196</v>
      </c>
    </row>
    <row r="76" spans="1:11" hidden="1" x14ac:dyDescent="0.3">
      <c r="A76" s="6">
        <v>74</v>
      </c>
      <c r="B76" s="7" t="s">
        <v>137</v>
      </c>
      <c r="C76" s="6">
        <v>8</v>
      </c>
      <c r="D76" s="7" t="str">
        <f>VLOOKUP(B76,Hoja1!A:C,2,FALSE)</f>
        <v>1 (JASC025)</v>
      </c>
      <c r="E76" s="8">
        <v>627</v>
      </c>
      <c r="F76" s="8">
        <v>0</v>
      </c>
      <c r="G76" s="8">
        <v>0</v>
      </c>
      <c r="H76" s="9" t="s">
        <v>12</v>
      </c>
      <c r="I76" s="10" t="s">
        <v>11</v>
      </c>
      <c r="J76" s="10" t="s">
        <v>11</v>
      </c>
      <c r="K76" s="7" t="s">
        <v>195</v>
      </c>
    </row>
    <row r="77" spans="1:11" hidden="1" x14ac:dyDescent="0.3">
      <c r="A77" s="6">
        <v>75</v>
      </c>
      <c r="B77" s="7" t="s">
        <v>138</v>
      </c>
      <c r="C77" s="6">
        <v>8</v>
      </c>
      <c r="D77" s="7" t="str">
        <f>VLOOKUP(B77,Hoja1!A:C,2,FALSE)</f>
        <v>1 (JASC010)</v>
      </c>
      <c r="E77" s="8">
        <v>450</v>
      </c>
      <c r="F77" s="8">
        <v>0</v>
      </c>
      <c r="G77" s="8">
        <v>0</v>
      </c>
      <c r="H77" s="9" t="s">
        <v>12</v>
      </c>
      <c r="I77" s="10" t="s">
        <v>11</v>
      </c>
      <c r="J77" s="10" t="s">
        <v>11</v>
      </c>
      <c r="K77" s="7" t="s">
        <v>195</v>
      </c>
    </row>
    <row r="78" spans="1:11" hidden="1" x14ac:dyDescent="0.3">
      <c r="A78" s="6">
        <v>76</v>
      </c>
      <c r="B78" s="7" t="s">
        <v>139</v>
      </c>
      <c r="C78" s="6">
        <v>8</v>
      </c>
      <c r="D78" s="7" t="str">
        <f>VLOOKUP(B78,Hoja1!A:C,2,FALSE)</f>
        <v>1 (JASC010)</v>
      </c>
      <c r="E78" s="8">
        <v>1485</v>
      </c>
      <c r="F78" s="8">
        <v>0</v>
      </c>
      <c r="G78" s="8">
        <v>0</v>
      </c>
      <c r="H78" s="9" t="s">
        <v>140</v>
      </c>
      <c r="I78" s="10" t="s">
        <v>11</v>
      </c>
      <c r="J78" s="10" t="s">
        <v>11</v>
      </c>
      <c r="K78" s="7" t="s">
        <v>196</v>
      </c>
    </row>
    <row r="79" spans="1:11" hidden="1" x14ac:dyDescent="0.3">
      <c r="A79" s="6">
        <v>77</v>
      </c>
      <c r="B79" s="7" t="s">
        <v>141</v>
      </c>
      <c r="C79" s="6">
        <v>8</v>
      </c>
      <c r="D79" s="7" t="str">
        <f>VLOOKUP(B79,Hoja1!A:C,2,FALSE)</f>
        <v>1 (JASC010)</v>
      </c>
      <c r="E79" s="8">
        <v>200</v>
      </c>
      <c r="F79" s="8">
        <v>0</v>
      </c>
      <c r="G79" s="8">
        <v>0</v>
      </c>
      <c r="H79" s="9" t="s">
        <v>142</v>
      </c>
      <c r="I79" s="9" t="s">
        <v>12</v>
      </c>
      <c r="J79" s="10" t="s">
        <v>11</v>
      </c>
      <c r="K79" s="7" t="s">
        <v>195</v>
      </c>
    </row>
    <row r="80" spans="1:11" hidden="1" x14ac:dyDescent="0.3">
      <c r="A80" s="6">
        <v>78</v>
      </c>
      <c r="B80" s="7" t="s">
        <v>143</v>
      </c>
      <c r="C80" s="6">
        <v>8</v>
      </c>
      <c r="D80" s="7" t="str">
        <f>VLOOKUP(B80,Hoja1!A:C,2,FALSE)</f>
        <v>2 (JASC010, JASC5GB)</v>
      </c>
      <c r="E80" s="8">
        <v>120</v>
      </c>
      <c r="F80" s="8">
        <v>0</v>
      </c>
      <c r="G80" s="8">
        <v>0</v>
      </c>
      <c r="H80" s="12" t="s">
        <v>99</v>
      </c>
      <c r="I80" s="9" t="s">
        <v>12</v>
      </c>
      <c r="J80" s="10" t="s">
        <v>11</v>
      </c>
      <c r="K80" s="7" t="s">
        <v>195</v>
      </c>
    </row>
    <row r="81" spans="1:11" hidden="1" x14ac:dyDescent="0.3">
      <c r="A81" s="6">
        <v>79</v>
      </c>
      <c r="B81" s="7" t="s">
        <v>144</v>
      </c>
      <c r="C81" s="6">
        <v>8</v>
      </c>
      <c r="D81" s="7" t="str">
        <f>VLOOKUP(B81,Hoja1!A:C,2,FALSE)</f>
        <v>1 (JASC100)</v>
      </c>
      <c r="E81" s="8">
        <v>702</v>
      </c>
      <c r="F81" s="8">
        <v>0</v>
      </c>
      <c r="G81" s="8">
        <v>0</v>
      </c>
      <c r="H81" s="9" t="s">
        <v>145</v>
      </c>
      <c r="I81" s="10" t="s">
        <v>11</v>
      </c>
      <c r="J81" s="10" t="s">
        <v>11</v>
      </c>
      <c r="K81" s="7" t="s">
        <v>196</v>
      </c>
    </row>
    <row r="82" spans="1:11" hidden="1" x14ac:dyDescent="0.3">
      <c r="A82" s="6">
        <v>80</v>
      </c>
      <c r="B82" s="7" t="s">
        <v>146</v>
      </c>
      <c r="C82" s="6">
        <v>8</v>
      </c>
      <c r="D82" s="7" t="str">
        <f>VLOOKUP(B82,Hoja1!A:C,2,FALSE)</f>
        <v>1 (JASC010)</v>
      </c>
      <c r="E82" s="8">
        <v>1026</v>
      </c>
      <c r="F82" s="8">
        <v>0</v>
      </c>
      <c r="G82" s="8">
        <v>0</v>
      </c>
      <c r="H82" s="9" t="s">
        <v>147</v>
      </c>
      <c r="I82" s="10" t="s">
        <v>11</v>
      </c>
      <c r="J82" s="10" t="s">
        <v>11</v>
      </c>
      <c r="K82" s="7" t="s">
        <v>196</v>
      </c>
    </row>
    <row r="83" spans="1:11" hidden="1" x14ac:dyDescent="0.3">
      <c r="A83" s="6">
        <v>81</v>
      </c>
      <c r="B83" s="7" t="s">
        <v>148</v>
      </c>
      <c r="C83" s="6">
        <v>8</v>
      </c>
      <c r="D83" s="7" t="str">
        <f>VLOOKUP(B83,Hoja1!A:C,2,FALSE)</f>
        <v>1 (JASC010)</v>
      </c>
      <c r="E83" s="8">
        <v>1840</v>
      </c>
      <c r="F83" s="8">
        <v>0</v>
      </c>
      <c r="G83" s="8">
        <v>0</v>
      </c>
      <c r="H83" s="9" t="s">
        <v>149</v>
      </c>
      <c r="I83" s="10" t="s">
        <v>11</v>
      </c>
      <c r="J83" s="10" t="s">
        <v>11</v>
      </c>
      <c r="K83" s="7" t="s">
        <v>196</v>
      </c>
    </row>
    <row r="84" spans="1:11" hidden="1" x14ac:dyDescent="0.3">
      <c r="A84" s="6">
        <v>82</v>
      </c>
      <c r="B84" s="7" t="s">
        <v>150</v>
      </c>
      <c r="C84" s="6">
        <v>8</v>
      </c>
      <c r="D84" s="7" t="str">
        <f>VLOOKUP(B84,Hoja1!A:C,2,FALSE)</f>
        <v>2 (JASC010, JASC500)</v>
      </c>
      <c r="E84" s="8">
        <v>339</v>
      </c>
      <c r="F84" s="8">
        <v>0</v>
      </c>
      <c r="G84" s="8">
        <v>0</v>
      </c>
      <c r="H84" s="9" t="s">
        <v>12</v>
      </c>
      <c r="I84" s="9" t="s">
        <v>151</v>
      </c>
      <c r="J84" s="10" t="s">
        <v>11</v>
      </c>
      <c r="K84" s="7" t="s">
        <v>195</v>
      </c>
    </row>
    <row r="85" spans="1:11" hidden="1" x14ac:dyDescent="0.3">
      <c r="A85" s="6">
        <v>83</v>
      </c>
      <c r="B85" s="7" t="s">
        <v>152</v>
      </c>
      <c r="C85" s="6">
        <v>8</v>
      </c>
      <c r="D85" s="7" t="str">
        <f>VLOOKUP(B85,Hoja1!A:C,2,FALSE)</f>
        <v>1 (JASC010)</v>
      </c>
      <c r="E85" s="8">
        <v>700</v>
      </c>
      <c r="F85" s="8">
        <v>0</v>
      </c>
      <c r="G85" s="8">
        <v>0</v>
      </c>
      <c r="H85" s="9" t="s">
        <v>153</v>
      </c>
      <c r="I85" s="10" t="s">
        <v>11</v>
      </c>
      <c r="J85" s="10" t="s">
        <v>11</v>
      </c>
      <c r="K85" s="7" t="s">
        <v>196</v>
      </c>
    </row>
    <row r="86" spans="1:11" hidden="1" x14ac:dyDescent="0.3">
      <c r="A86" s="6">
        <v>84</v>
      </c>
      <c r="B86" s="7" t="s">
        <v>705</v>
      </c>
      <c r="C86" s="6">
        <v>8</v>
      </c>
      <c r="D86" s="7" t="str">
        <f>VLOOKUP(B86,Hoja1!A:C,2,FALSE)</f>
        <v>1 (JASC010)</v>
      </c>
      <c r="E86" s="8">
        <v>100</v>
      </c>
      <c r="F86" s="8">
        <v>0</v>
      </c>
      <c r="G86" s="8">
        <v>0</v>
      </c>
      <c r="H86" s="12" t="s">
        <v>24</v>
      </c>
      <c r="I86" s="9" t="s">
        <v>12</v>
      </c>
      <c r="J86" s="10" t="s">
        <v>11</v>
      </c>
      <c r="K86" s="7" t="s">
        <v>195</v>
      </c>
    </row>
    <row r="87" spans="1:11" hidden="1" x14ac:dyDescent="0.3">
      <c r="A87" s="6">
        <v>85</v>
      </c>
      <c r="B87" s="7" t="s">
        <v>154</v>
      </c>
      <c r="C87" s="6">
        <v>8</v>
      </c>
      <c r="D87" s="7" t="str">
        <f>VLOOKUP(B87,Hoja1!A:C,2,FALSE)</f>
        <v>1 (JASC010)</v>
      </c>
      <c r="E87" s="8">
        <v>120</v>
      </c>
      <c r="F87" s="8">
        <v>0</v>
      </c>
      <c r="G87" s="8">
        <v>0</v>
      </c>
      <c r="H87" s="12" t="s">
        <v>24</v>
      </c>
      <c r="I87" s="9" t="s">
        <v>12</v>
      </c>
      <c r="J87" s="10" t="s">
        <v>11</v>
      </c>
      <c r="K87" s="7" t="s">
        <v>195</v>
      </c>
    </row>
    <row r="88" spans="1:11" hidden="1" x14ac:dyDescent="0.3">
      <c r="A88" s="6">
        <v>86</v>
      </c>
      <c r="B88" s="7" t="s">
        <v>711</v>
      </c>
      <c r="C88" s="6">
        <v>8</v>
      </c>
      <c r="D88" s="7" t="str">
        <f>VLOOKUP(B88,Hoja1!A:C,2,FALSE)</f>
        <v>1 (JASC025)</v>
      </c>
      <c r="E88" s="8">
        <v>740</v>
      </c>
      <c r="F88" s="8">
        <v>0</v>
      </c>
      <c r="G88" s="8">
        <v>0</v>
      </c>
      <c r="H88" s="12" t="s">
        <v>24</v>
      </c>
      <c r="I88" s="9" t="s">
        <v>12</v>
      </c>
      <c r="J88" s="10" t="s">
        <v>11</v>
      </c>
      <c r="K88" s="7" t="s">
        <v>195</v>
      </c>
    </row>
    <row r="89" spans="1:11" hidden="1" x14ac:dyDescent="0.3">
      <c r="A89" s="6">
        <v>87</v>
      </c>
      <c r="B89" s="7" t="s">
        <v>639</v>
      </c>
      <c r="C89" s="6">
        <v>8</v>
      </c>
      <c r="D89" s="7" t="str">
        <f>VLOOKUP(B89,Hoja1!A:C,2,FALSE)</f>
        <v>1 (JASC010)</v>
      </c>
      <c r="E89" s="8">
        <v>805</v>
      </c>
      <c r="F89" s="8">
        <v>0</v>
      </c>
      <c r="G89" s="8">
        <v>0</v>
      </c>
      <c r="H89" s="9" t="s">
        <v>157</v>
      </c>
      <c r="I89" s="10" t="s">
        <v>11</v>
      </c>
      <c r="J89" s="10" t="s">
        <v>11</v>
      </c>
      <c r="K89" s="7" t="s">
        <v>196</v>
      </c>
    </row>
    <row r="90" spans="1:11" hidden="1" x14ac:dyDescent="0.3">
      <c r="A90" s="6">
        <v>88</v>
      </c>
      <c r="B90" s="7" t="s">
        <v>158</v>
      </c>
      <c r="C90" s="6">
        <v>8</v>
      </c>
      <c r="D90" s="7" t="str">
        <f>VLOOKUP(B90,Hoja1!A:C,2,FALSE)</f>
        <v>1 (JASC010)</v>
      </c>
      <c r="E90" s="8">
        <v>100</v>
      </c>
      <c r="F90" s="8">
        <v>0</v>
      </c>
      <c r="G90" s="8">
        <v>0</v>
      </c>
      <c r="H90" s="12" t="s">
        <v>24</v>
      </c>
      <c r="I90" s="9" t="s">
        <v>12</v>
      </c>
      <c r="J90" s="10" t="s">
        <v>11</v>
      </c>
      <c r="K90" s="7" t="s">
        <v>195</v>
      </c>
    </row>
    <row r="91" spans="1:11" hidden="1" x14ac:dyDescent="0.3">
      <c r="A91" s="6">
        <v>89</v>
      </c>
      <c r="B91" s="7" t="s">
        <v>159</v>
      </c>
      <c r="C91" s="6">
        <v>8</v>
      </c>
      <c r="D91" s="7" t="str">
        <f>VLOOKUP(B91,Hoja1!A:C,2,FALSE)</f>
        <v>1 (JASC010)</v>
      </c>
      <c r="E91" s="8">
        <v>101</v>
      </c>
      <c r="F91" s="8">
        <v>0</v>
      </c>
      <c r="G91" s="8">
        <v>0</v>
      </c>
      <c r="H91" s="9" t="s">
        <v>160</v>
      </c>
      <c r="I91" s="9" t="s">
        <v>161</v>
      </c>
      <c r="J91" s="9" t="s">
        <v>162</v>
      </c>
      <c r="K91" s="7" t="s">
        <v>196</v>
      </c>
    </row>
    <row r="92" spans="1:11" hidden="1" x14ac:dyDescent="0.3">
      <c r="A92" s="6">
        <v>90</v>
      </c>
      <c r="B92" s="7" t="s">
        <v>163</v>
      </c>
      <c r="C92" s="6">
        <v>8</v>
      </c>
      <c r="D92" s="7" t="str">
        <f>VLOOKUP(B92,Hoja1!A:C,2,FALSE)</f>
        <v>3 (JASC010, JASC025, JASL010)</v>
      </c>
      <c r="E92" s="8">
        <v>3817</v>
      </c>
      <c r="F92" s="8">
        <v>100</v>
      </c>
      <c r="G92" s="8">
        <v>0</v>
      </c>
      <c r="H92" s="9" t="s">
        <v>164</v>
      </c>
      <c r="I92" s="10" t="s">
        <v>11</v>
      </c>
      <c r="J92" s="10" t="s">
        <v>11</v>
      </c>
      <c r="K92" s="7" t="s">
        <v>196</v>
      </c>
    </row>
    <row r="93" spans="1:11" hidden="1" x14ac:dyDescent="0.3">
      <c r="A93" s="6">
        <v>91</v>
      </c>
      <c r="B93" s="7" t="s">
        <v>165</v>
      </c>
      <c r="C93" s="6">
        <v>8</v>
      </c>
      <c r="D93" s="7" t="str">
        <f>VLOOKUP(B93,Hoja1!A:C,2,FALSE)</f>
        <v>3 (JASA010, JASC010, JASL010)</v>
      </c>
      <c r="E93" s="8">
        <v>9509</v>
      </c>
      <c r="F93" s="8">
        <v>0</v>
      </c>
      <c r="G93" s="8">
        <v>0</v>
      </c>
      <c r="H93" s="9" t="s">
        <v>166</v>
      </c>
      <c r="I93" s="9" t="s">
        <v>12</v>
      </c>
      <c r="J93" s="10" t="s">
        <v>11</v>
      </c>
      <c r="K93" s="7" t="s">
        <v>195</v>
      </c>
    </row>
    <row r="94" spans="1:11" hidden="1" x14ac:dyDescent="0.3">
      <c r="A94" s="6">
        <v>92</v>
      </c>
      <c r="B94" s="7" t="s">
        <v>168</v>
      </c>
      <c r="C94" s="6">
        <v>8</v>
      </c>
      <c r="D94" s="7" t="str">
        <f>VLOOKUP(B94,Hoja1!A:C,2,FALSE)</f>
        <v>1 (JASC010)</v>
      </c>
      <c r="E94" s="8">
        <v>700</v>
      </c>
      <c r="F94" s="8">
        <v>0</v>
      </c>
      <c r="G94" s="8">
        <v>0</v>
      </c>
      <c r="H94" s="12" t="s">
        <v>24</v>
      </c>
      <c r="I94" s="9" t="s">
        <v>12</v>
      </c>
      <c r="J94" s="10" t="s">
        <v>11</v>
      </c>
      <c r="K94" s="7" t="s">
        <v>195</v>
      </c>
    </row>
    <row r="95" spans="1:11" hidden="1" x14ac:dyDescent="0.3">
      <c r="A95" s="6">
        <v>93</v>
      </c>
      <c r="B95" s="7" t="s">
        <v>169</v>
      </c>
      <c r="C95" s="6">
        <v>8</v>
      </c>
      <c r="D95" s="7" t="str">
        <f>VLOOKUP(B95,Hoja1!A:C,2,FALSE)</f>
        <v>1 (JASC010)</v>
      </c>
      <c r="E95" s="8">
        <v>102</v>
      </c>
      <c r="F95" s="8">
        <v>0</v>
      </c>
      <c r="G95" s="8">
        <v>0</v>
      </c>
      <c r="H95" s="9" t="s">
        <v>170</v>
      </c>
      <c r="I95" s="10" t="s">
        <v>11</v>
      </c>
      <c r="J95" s="10" t="s">
        <v>11</v>
      </c>
      <c r="K95" s="7" t="s">
        <v>196</v>
      </c>
    </row>
    <row r="96" spans="1:11" hidden="1" x14ac:dyDescent="0.3">
      <c r="A96" s="6">
        <v>94</v>
      </c>
      <c r="B96" s="7" t="s">
        <v>171</v>
      </c>
      <c r="C96" s="6">
        <v>8</v>
      </c>
      <c r="D96" s="7" t="str">
        <f>VLOOKUP(B96,Hoja1!A:C,2,FALSE)</f>
        <v>1 (JASM3GB)</v>
      </c>
      <c r="E96" s="8">
        <v>0</v>
      </c>
      <c r="F96" s="8">
        <v>0</v>
      </c>
      <c r="G96" s="8">
        <v>620</v>
      </c>
      <c r="H96" s="9" t="s">
        <v>12</v>
      </c>
      <c r="I96" s="10" t="s">
        <v>11</v>
      </c>
      <c r="J96" s="10" t="s">
        <v>11</v>
      </c>
      <c r="K96" s="7" t="s">
        <v>195</v>
      </c>
    </row>
    <row r="97" spans="1:11" hidden="1" x14ac:dyDescent="0.3">
      <c r="A97" s="6">
        <v>95</v>
      </c>
      <c r="B97" s="7" t="s">
        <v>172</v>
      </c>
      <c r="C97" s="6">
        <v>8</v>
      </c>
      <c r="D97" s="7" t="str">
        <f>VLOOKUP(B97,Hoja1!A:C,2,FALSE)</f>
        <v>1 (JASC010)</v>
      </c>
      <c r="E97" s="8">
        <v>449</v>
      </c>
      <c r="F97" s="8">
        <v>0</v>
      </c>
      <c r="G97" s="8">
        <v>0</v>
      </c>
      <c r="H97" s="9" t="s">
        <v>173</v>
      </c>
      <c r="I97" s="10" t="s">
        <v>11</v>
      </c>
      <c r="J97" s="10" t="s">
        <v>11</v>
      </c>
      <c r="K97" s="7" t="s">
        <v>196</v>
      </c>
    </row>
    <row r="98" spans="1:11" hidden="1" x14ac:dyDescent="0.3">
      <c r="A98" s="6">
        <v>96</v>
      </c>
      <c r="B98" s="7" t="s">
        <v>174</v>
      </c>
      <c r="C98" s="6">
        <v>8</v>
      </c>
      <c r="D98" s="7" t="str">
        <f>VLOOKUP(B98,Hoja1!A:C,2,FALSE)</f>
        <v>1 (JASC010)</v>
      </c>
      <c r="E98" s="8">
        <v>350</v>
      </c>
      <c r="F98" s="8">
        <v>0</v>
      </c>
      <c r="G98" s="8">
        <v>0</v>
      </c>
      <c r="H98" s="9" t="s">
        <v>175</v>
      </c>
      <c r="I98" s="10" t="s">
        <v>11</v>
      </c>
      <c r="J98" s="10" t="s">
        <v>11</v>
      </c>
      <c r="K98" s="7" t="s">
        <v>196</v>
      </c>
    </row>
    <row r="99" spans="1:11" hidden="1" x14ac:dyDescent="0.3">
      <c r="A99" s="6">
        <v>97</v>
      </c>
      <c r="B99" s="7" t="s">
        <v>176</v>
      </c>
      <c r="C99" s="6">
        <v>8</v>
      </c>
      <c r="D99" s="7" t="str">
        <f>VLOOKUP(B99,Hoja1!A:C,2,FALSE)</f>
        <v>2 (JASC010, JASL010)</v>
      </c>
      <c r="E99" s="8">
        <v>2971</v>
      </c>
      <c r="F99" s="8">
        <v>0</v>
      </c>
      <c r="G99" s="8">
        <v>0</v>
      </c>
      <c r="H99" s="9" t="s">
        <v>177</v>
      </c>
      <c r="I99" s="10" t="s">
        <v>11</v>
      </c>
      <c r="J99" s="10" t="s">
        <v>11</v>
      </c>
      <c r="K99" s="7" t="s">
        <v>196</v>
      </c>
    </row>
    <row r="100" spans="1:11" hidden="1" x14ac:dyDescent="0.3">
      <c r="A100" s="6">
        <v>98</v>
      </c>
      <c r="B100" s="7" t="s">
        <v>178</v>
      </c>
      <c r="C100" s="6">
        <v>8</v>
      </c>
      <c r="D100" s="7" t="str">
        <f>VLOOKUP(B100,Hoja1!A:C,2,FALSE)</f>
        <v>1 (JASC010)</v>
      </c>
      <c r="E100" s="8">
        <v>364</v>
      </c>
      <c r="F100" s="8">
        <v>0</v>
      </c>
      <c r="G100" s="8">
        <v>0</v>
      </c>
      <c r="H100" s="9" t="s">
        <v>179</v>
      </c>
      <c r="I100" s="10" t="s">
        <v>11</v>
      </c>
      <c r="J100" s="10" t="s">
        <v>11</v>
      </c>
      <c r="K100" s="7" t="s">
        <v>196</v>
      </c>
    </row>
    <row r="101" spans="1:11" hidden="1" x14ac:dyDescent="0.3">
      <c r="A101" s="6">
        <v>99</v>
      </c>
      <c r="B101" s="7" t="s">
        <v>727</v>
      </c>
      <c r="C101" s="6">
        <v>8</v>
      </c>
      <c r="D101" s="7" t="e">
        <f>VLOOKUP(B101,Hoja1!A:C,2,FALSE)</f>
        <v>#N/A</v>
      </c>
      <c r="E101" s="8">
        <v>3450</v>
      </c>
      <c r="F101" s="8">
        <v>0</v>
      </c>
      <c r="G101" s="8">
        <v>0</v>
      </c>
      <c r="H101" s="9" t="s">
        <v>180</v>
      </c>
      <c r="I101" s="10" t="s">
        <v>11</v>
      </c>
      <c r="J101" s="10" t="s">
        <v>11</v>
      </c>
      <c r="K101" s="7" t="s">
        <v>196</v>
      </c>
    </row>
    <row r="102" spans="1:11" hidden="1" x14ac:dyDescent="0.3">
      <c r="A102" s="6">
        <v>100</v>
      </c>
      <c r="B102" s="7" t="s">
        <v>181</v>
      </c>
      <c r="C102" s="6">
        <v>8</v>
      </c>
      <c r="D102" s="7" t="str">
        <f>VLOOKUP(B102,Hoja1!A:C,2,FALSE)</f>
        <v>1 (JASC010)</v>
      </c>
      <c r="E102" s="8">
        <v>1483</v>
      </c>
      <c r="F102" s="8">
        <v>100</v>
      </c>
      <c r="G102" s="8">
        <v>0</v>
      </c>
      <c r="H102" s="9" t="s">
        <v>12</v>
      </c>
      <c r="I102" s="10" t="s">
        <v>11</v>
      </c>
      <c r="J102" s="10" t="s">
        <v>11</v>
      </c>
      <c r="K102" s="7" t="s">
        <v>195</v>
      </c>
    </row>
    <row r="103" spans="1:11" hidden="1" x14ac:dyDescent="0.3">
      <c r="A103" s="6">
        <v>101</v>
      </c>
      <c r="B103" s="7" t="s">
        <v>182</v>
      </c>
      <c r="C103" s="6">
        <v>8</v>
      </c>
      <c r="D103" s="7" t="str">
        <f>VLOOKUP(B103,Hoja1!A:C,2,FALSE)</f>
        <v>1 (JASC010)</v>
      </c>
      <c r="E103" s="8">
        <v>1004</v>
      </c>
      <c r="F103" s="8">
        <v>0</v>
      </c>
      <c r="G103" s="8">
        <v>0</v>
      </c>
      <c r="H103" s="9" t="s">
        <v>183</v>
      </c>
      <c r="I103" s="10" t="s">
        <v>12</v>
      </c>
      <c r="J103" s="10" t="s">
        <v>11</v>
      </c>
      <c r="K103" s="7" t="s">
        <v>196</v>
      </c>
    </row>
    <row r="104" spans="1:11" hidden="1" x14ac:dyDescent="0.3">
      <c r="A104" s="6">
        <v>102</v>
      </c>
      <c r="B104" s="7" t="s">
        <v>184</v>
      </c>
      <c r="C104" s="6">
        <v>8</v>
      </c>
      <c r="D104" s="7" t="str">
        <f>VLOOKUP(B104,Hoja1!A:C,2,FALSE)</f>
        <v>1 (JASC025)</v>
      </c>
      <c r="E104" s="8">
        <v>100</v>
      </c>
      <c r="F104" s="8">
        <v>0</v>
      </c>
      <c r="G104" s="8">
        <v>0</v>
      </c>
      <c r="H104" s="9" t="s">
        <v>185</v>
      </c>
      <c r="I104" s="10" t="s">
        <v>11</v>
      </c>
      <c r="J104" s="10" t="s">
        <v>11</v>
      </c>
      <c r="K104" s="7" t="s">
        <v>196</v>
      </c>
    </row>
    <row r="105" spans="1:11" hidden="1" x14ac:dyDescent="0.3">
      <c r="A105" s="6">
        <v>103</v>
      </c>
      <c r="B105" s="7" t="s">
        <v>186</v>
      </c>
      <c r="C105" s="6">
        <v>8</v>
      </c>
      <c r="D105" s="7" t="str">
        <f>VLOOKUP(B105,Hoja1!A:C,2,FALSE)</f>
        <v>1 (JASC010)</v>
      </c>
      <c r="E105" s="8">
        <v>200</v>
      </c>
      <c r="F105" s="8">
        <v>0</v>
      </c>
      <c r="G105" s="8">
        <v>0</v>
      </c>
      <c r="H105" s="9" t="s">
        <v>187</v>
      </c>
      <c r="I105" s="10" t="s">
        <v>11</v>
      </c>
      <c r="J105" s="10" t="s">
        <v>11</v>
      </c>
      <c r="K105" s="7" t="s">
        <v>196</v>
      </c>
    </row>
    <row r="106" spans="1:11" hidden="1" x14ac:dyDescent="0.3">
      <c r="A106" s="6">
        <v>104</v>
      </c>
      <c r="B106" s="7" t="s">
        <v>704</v>
      </c>
      <c r="C106" s="6">
        <v>8</v>
      </c>
      <c r="D106" s="7" t="str">
        <f>VLOOKUP(B106,Hoja1!A:C,2,FALSE)</f>
        <v>1 (JASC010)</v>
      </c>
      <c r="E106" s="8">
        <v>100</v>
      </c>
      <c r="F106" s="8">
        <v>0</v>
      </c>
      <c r="G106" s="8">
        <v>0</v>
      </c>
      <c r="H106" s="12" t="s">
        <v>24</v>
      </c>
      <c r="I106" s="9" t="s">
        <v>12</v>
      </c>
      <c r="J106" s="10" t="s">
        <v>11</v>
      </c>
      <c r="K106" s="7" t="s">
        <v>195</v>
      </c>
    </row>
    <row r="107" spans="1:11" hidden="1" x14ac:dyDescent="0.3">
      <c r="A107" s="6">
        <v>105</v>
      </c>
      <c r="B107" s="7" t="s">
        <v>189</v>
      </c>
      <c r="C107" s="6">
        <v>8</v>
      </c>
      <c r="D107" s="7" t="str">
        <f>VLOOKUP(B107,Hoja1!A:C,2,FALSE)</f>
        <v>1 (JASC010)</v>
      </c>
      <c r="E107" s="8">
        <v>550</v>
      </c>
      <c r="F107" s="8">
        <v>0</v>
      </c>
      <c r="G107" s="8">
        <v>0</v>
      </c>
      <c r="H107" s="9" t="s">
        <v>12</v>
      </c>
      <c r="I107" s="10" t="s">
        <v>11</v>
      </c>
      <c r="J107" s="10" t="s">
        <v>11</v>
      </c>
      <c r="K107" s="7" t="s">
        <v>195</v>
      </c>
    </row>
  </sheetData>
  <autoFilter ref="A2:K107" xr:uid="{A53BF61A-02C3-408C-A075-5175E12EB476}">
    <filterColumn colId="1">
      <filters>
        <filter val="GCBA"/>
      </filters>
    </filterColumn>
  </autoFilter>
  <mergeCells count="1">
    <mergeCell ref="E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7617-F846-4D08-9051-B82E7BF7C7D8}">
  <dimension ref="A1:I122"/>
  <sheetViews>
    <sheetView workbookViewId="0">
      <selection sqref="A1:XFD1"/>
    </sheetView>
  </sheetViews>
  <sheetFormatPr baseColWidth="10" defaultColWidth="8.88671875" defaultRowHeight="14.4" x14ac:dyDescent="0.3"/>
  <cols>
    <col min="1" max="1" width="39.6640625" bestFit="1" customWidth="1"/>
    <col min="2" max="2" width="61.33203125" bestFit="1" customWidth="1"/>
    <col min="3" max="3" width="22" bestFit="1" customWidth="1"/>
    <col min="4" max="4" width="24.6640625" bestFit="1" customWidth="1"/>
    <col min="5" max="5" width="12" bestFit="1" customWidth="1"/>
    <col min="6" max="6" width="187.88671875" bestFit="1" customWidth="1"/>
    <col min="7" max="7" width="56.44140625" bestFit="1" customWidth="1"/>
    <col min="8" max="8" width="107.5546875" bestFit="1" customWidth="1"/>
    <col min="9" max="9" width="5.88671875" bestFit="1" customWidth="1"/>
  </cols>
  <sheetData>
    <row r="1" spans="1:9" x14ac:dyDescent="0.3">
      <c r="A1" s="11" t="s">
        <v>612</v>
      </c>
      <c r="B1" s="11" t="s">
        <v>616</v>
      </c>
      <c r="C1" s="11" t="s">
        <v>615</v>
      </c>
      <c r="D1" s="11" t="s">
        <v>614</v>
      </c>
      <c r="E1" s="11" t="s">
        <v>613</v>
      </c>
      <c r="F1" s="11" t="s">
        <v>611</v>
      </c>
      <c r="G1" s="11" t="s">
        <v>610</v>
      </c>
      <c r="H1" s="11" t="s">
        <v>609</v>
      </c>
      <c r="I1" s="11" t="s">
        <v>8</v>
      </c>
    </row>
    <row r="2" spans="1:9" x14ac:dyDescent="0.3">
      <c r="A2" t="s">
        <v>7</v>
      </c>
      <c r="B2" t="s">
        <v>608</v>
      </c>
      <c r="C2" t="s">
        <v>207</v>
      </c>
      <c r="D2" t="s">
        <v>206</v>
      </c>
      <c r="E2" t="s">
        <v>603</v>
      </c>
      <c r="F2" t="s">
        <v>552</v>
      </c>
      <c r="G2" t="s">
        <v>204</v>
      </c>
      <c r="H2" t="s">
        <v>601</v>
      </c>
      <c r="I2" t="s">
        <v>9</v>
      </c>
    </row>
    <row r="3" spans="1:9" x14ac:dyDescent="0.3">
      <c r="A3" t="s">
        <v>7</v>
      </c>
      <c r="B3" t="s">
        <v>607</v>
      </c>
      <c r="C3" t="s">
        <v>202</v>
      </c>
      <c r="D3" t="s">
        <v>201</v>
      </c>
      <c r="E3" t="s">
        <v>603</v>
      </c>
      <c r="F3" t="s">
        <v>606</v>
      </c>
      <c r="G3" t="s">
        <v>605</v>
      </c>
      <c r="H3" t="s">
        <v>601</v>
      </c>
      <c r="I3" t="s">
        <v>9</v>
      </c>
    </row>
    <row r="4" spans="1:9" x14ac:dyDescent="0.3">
      <c r="A4" t="s">
        <v>7</v>
      </c>
      <c r="B4" t="s">
        <v>604</v>
      </c>
      <c r="C4" t="s">
        <v>207</v>
      </c>
      <c r="D4" t="s">
        <v>206</v>
      </c>
      <c r="E4" t="s">
        <v>603</v>
      </c>
      <c r="F4" t="s">
        <v>602</v>
      </c>
      <c r="G4" t="s">
        <v>204</v>
      </c>
      <c r="H4" t="s">
        <v>601</v>
      </c>
      <c r="I4" t="s">
        <v>9</v>
      </c>
    </row>
    <row r="5" spans="1:9" x14ac:dyDescent="0.3">
      <c r="A5" t="s">
        <v>14</v>
      </c>
      <c r="B5" t="s">
        <v>282</v>
      </c>
      <c r="C5" t="s">
        <v>207</v>
      </c>
      <c r="D5" t="s">
        <v>206</v>
      </c>
      <c r="E5" t="s">
        <v>600</v>
      </c>
      <c r="F5" t="s">
        <v>280</v>
      </c>
      <c r="G5" t="s">
        <v>279</v>
      </c>
      <c r="H5" t="s">
        <v>278</v>
      </c>
      <c r="I5" t="s">
        <v>9</v>
      </c>
    </row>
    <row r="6" spans="1:9" x14ac:dyDescent="0.3">
      <c r="A6" t="s">
        <v>14</v>
      </c>
      <c r="B6" t="s">
        <v>284</v>
      </c>
      <c r="C6" t="s">
        <v>207</v>
      </c>
      <c r="D6" t="s">
        <v>206</v>
      </c>
      <c r="E6" t="s">
        <v>599</v>
      </c>
      <c r="F6" t="s">
        <v>280</v>
      </c>
      <c r="G6" t="s">
        <v>283</v>
      </c>
      <c r="H6" t="s">
        <v>278</v>
      </c>
      <c r="I6" t="s">
        <v>9</v>
      </c>
    </row>
    <row r="7" spans="1:9" x14ac:dyDescent="0.3">
      <c r="A7" t="s">
        <v>14</v>
      </c>
      <c r="B7" t="s">
        <v>286</v>
      </c>
      <c r="C7" t="s">
        <v>207</v>
      </c>
      <c r="D7" t="s">
        <v>206</v>
      </c>
      <c r="E7" t="s">
        <v>599</v>
      </c>
      <c r="F7" t="s">
        <v>280</v>
      </c>
      <c r="G7" t="s">
        <v>285</v>
      </c>
      <c r="H7" t="s">
        <v>278</v>
      </c>
      <c r="I7" t="s">
        <v>9</v>
      </c>
    </row>
    <row r="8" spans="1:9" x14ac:dyDescent="0.3">
      <c r="A8" t="s">
        <v>14</v>
      </c>
      <c r="B8" t="s">
        <v>277</v>
      </c>
      <c r="C8" t="s">
        <v>257</v>
      </c>
      <c r="D8" t="s">
        <v>256</v>
      </c>
      <c r="E8" t="s">
        <v>599</v>
      </c>
      <c r="F8" t="s">
        <v>280</v>
      </c>
      <c r="G8" t="s">
        <v>254</v>
      </c>
      <c r="H8" t="s">
        <v>278</v>
      </c>
      <c r="I8" t="s">
        <v>9</v>
      </c>
    </row>
    <row r="9" spans="1:9" x14ac:dyDescent="0.3">
      <c r="A9" t="s">
        <v>14</v>
      </c>
      <c r="B9" t="s">
        <v>290</v>
      </c>
      <c r="C9" t="s">
        <v>207</v>
      </c>
      <c r="D9" t="s">
        <v>206</v>
      </c>
      <c r="E9" t="s">
        <v>599</v>
      </c>
      <c r="F9" t="s">
        <v>280</v>
      </c>
      <c r="G9" t="s">
        <v>288</v>
      </c>
      <c r="H9" t="s">
        <v>278</v>
      </c>
      <c r="I9" t="s">
        <v>9</v>
      </c>
    </row>
    <row r="10" spans="1:9" x14ac:dyDescent="0.3">
      <c r="A10" t="s">
        <v>27</v>
      </c>
      <c r="B10" t="s">
        <v>598</v>
      </c>
      <c r="C10" t="s">
        <v>207</v>
      </c>
      <c r="D10" t="s">
        <v>206</v>
      </c>
      <c r="E10" t="s">
        <v>597</v>
      </c>
      <c r="F10" t="s">
        <v>596</v>
      </c>
      <c r="G10" t="s">
        <v>595</v>
      </c>
      <c r="H10" t="s">
        <v>594</v>
      </c>
      <c r="I10" t="s">
        <v>9</v>
      </c>
    </row>
    <row r="11" spans="1:9" x14ac:dyDescent="0.3">
      <c r="A11" t="s">
        <v>28</v>
      </c>
      <c r="B11" t="s">
        <v>593</v>
      </c>
      <c r="C11" t="s">
        <v>257</v>
      </c>
      <c r="D11" t="s">
        <v>256</v>
      </c>
      <c r="E11" t="s">
        <v>585</v>
      </c>
      <c r="F11" t="s">
        <v>588</v>
      </c>
      <c r="G11" t="s">
        <v>254</v>
      </c>
      <c r="H11" t="s">
        <v>584</v>
      </c>
      <c r="I11" t="s">
        <v>9</v>
      </c>
    </row>
    <row r="12" spans="1:9" x14ac:dyDescent="0.3">
      <c r="A12" t="s">
        <v>28</v>
      </c>
      <c r="B12" t="s">
        <v>592</v>
      </c>
      <c r="C12" t="s">
        <v>202</v>
      </c>
      <c r="D12" t="s">
        <v>233</v>
      </c>
      <c r="E12" t="s">
        <v>591</v>
      </c>
      <c r="F12" t="s">
        <v>588</v>
      </c>
      <c r="G12" t="s">
        <v>590</v>
      </c>
      <c r="H12" t="s">
        <v>584</v>
      </c>
      <c r="I12" t="s">
        <v>9</v>
      </c>
    </row>
    <row r="13" spans="1:9" x14ac:dyDescent="0.3">
      <c r="A13" t="s">
        <v>28</v>
      </c>
      <c r="B13" t="s">
        <v>589</v>
      </c>
      <c r="C13" t="s">
        <v>202</v>
      </c>
      <c r="D13" t="s">
        <v>201</v>
      </c>
      <c r="E13" t="s">
        <v>585</v>
      </c>
      <c r="F13" t="s">
        <v>588</v>
      </c>
      <c r="G13" t="s">
        <v>587</v>
      </c>
      <c r="H13" t="s">
        <v>584</v>
      </c>
      <c r="I13" t="s">
        <v>9</v>
      </c>
    </row>
    <row r="14" spans="1:9" x14ac:dyDescent="0.3">
      <c r="A14" t="s">
        <v>28</v>
      </c>
      <c r="B14" t="s">
        <v>586</v>
      </c>
      <c r="C14" t="s">
        <v>202</v>
      </c>
      <c r="D14" t="s">
        <v>201</v>
      </c>
      <c r="E14" t="s">
        <v>585</v>
      </c>
      <c r="F14" t="s">
        <v>221</v>
      </c>
      <c r="G14" t="s">
        <v>477</v>
      </c>
      <c r="H14" t="s">
        <v>584</v>
      </c>
      <c r="I14" t="s">
        <v>9</v>
      </c>
    </row>
    <row r="15" spans="1:9" x14ac:dyDescent="0.3">
      <c r="A15" t="s">
        <v>38</v>
      </c>
      <c r="B15" t="s">
        <v>578</v>
      </c>
      <c r="C15" t="s">
        <v>305</v>
      </c>
      <c r="D15" t="s">
        <v>304</v>
      </c>
      <c r="E15" t="s">
        <v>577</v>
      </c>
      <c r="F15" t="s">
        <v>576</v>
      </c>
      <c r="G15" t="s">
        <v>575</v>
      </c>
      <c r="H15" t="s">
        <v>574</v>
      </c>
      <c r="I15" t="s">
        <v>9</v>
      </c>
    </row>
    <row r="16" spans="1:9" x14ac:dyDescent="0.3">
      <c r="A16" t="s">
        <v>38</v>
      </c>
      <c r="B16" t="s">
        <v>573</v>
      </c>
      <c r="C16" t="s">
        <v>202</v>
      </c>
      <c r="D16" t="s">
        <v>201</v>
      </c>
      <c r="E16" t="s">
        <v>569</v>
      </c>
      <c r="F16" t="s">
        <v>568</v>
      </c>
      <c r="G16" t="s">
        <v>572</v>
      </c>
      <c r="H16" t="s">
        <v>571</v>
      </c>
      <c r="I16" t="s">
        <v>9</v>
      </c>
    </row>
    <row r="17" spans="1:9" x14ac:dyDescent="0.3">
      <c r="A17" t="s">
        <v>38</v>
      </c>
      <c r="B17" t="s">
        <v>570</v>
      </c>
      <c r="C17" t="s">
        <v>202</v>
      </c>
      <c r="D17" t="s">
        <v>201</v>
      </c>
      <c r="E17" t="s">
        <v>569</v>
      </c>
      <c r="F17" t="s">
        <v>568</v>
      </c>
      <c r="G17" t="s">
        <v>412</v>
      </c>
      <c r="H17" t="s">
        <v>567</v>
      </c>
      <c r="I17" t="s">
        <v>9</v>
      </c>
    </row>
    <row r="18" spans="1:9" x14ac:dyDescent="0.3">
      <c r="A18" t="s">
        <v>63</v>
      </c>
      <c r="B18" t="s">
        <v>566</v>
      </c>
      <c r="C18" t="s">
        <v>202</v>
      </c>
      <c r="D18" t="s">
        <v>201</v>
      </c>
      <c r="E18" t="s">
        <v>562</v>
      </c>
      <c r="F18" t="s">
        <v>565</v>
      </c>
      <c r="G18" t="s">
        <v>564</v>
      </c>
      <c r="H18" t="s">
        <v>560</v>
      </c>
      <c r="I18" t="s">
        <v>9</v>
      </c>
    </row>
    <row r="19" spans="1:9" x14ac:dyDescent="0.3">
      <c r="A19" t="s">
        <v>63</v>
      </c>
      <c r="B19" t="s">
        <v>563</v>
      </c>
      <c r="C19" t="s">
        <v>202</v>
      </c>
      <c r="D19" t="s">
        <v>201</v>
      </c>
      <c r="E19" t="s">
        <v>562</v>
      </c>
      <c r="F19" t="s">
        <v>221</v>
      </c>
      <c r="G19" t="s">
        <v>561</v>
      </c>
      <c r="H19" t="s">
        <v>560</v>
      </c>
      <c r="I19" t="s">
        <v>9</v>
      </c>
    </row>
    <row r="20" spans="1:9" x14ac:dyDescent="0.3">
      <c r="A20" t="s">
        <v>81</v>
      </c>
      <c r="B20" t="s">
        <v>554</v>
      </c>
      <c r="C20" t="s">
        <v>257</v>
      </c>
      <c r="D20" t="s">
        <v>256</v>
      </c>
      <c r="E20" t="s">
        <v>553</v>
      </c>
      <c r="F20" t="s">
        <v>552</v>
      </c>
      <c r="G20" t="s">
        <v>254</v>
      </c>
      <c r="H20" t="s">
        <v>551</v>
      </c>
      <c r="I20" t="s">
        <v>9</v>
      </c>
    </row>
    <row r="21" spans="1:9" x14ac:dyDescent="0.3">
      <c r="A21" t="s">
        <v>87</v>
      </c>
      <c r="B21" t="s">
        <v>550</v>
      </c>
      <c r="C21" t="s">
        <v>202</v>
      </c>
      <c r="D21" t="s">
        <v>201</v>
      </c>
      <c r="E21" t="s">
        <v>549</v>
      </c>
      <c r="F21" t="s">
        <v>548</v>
      </c>
      <c r="G21" t="s">
        <v>341</v>
      </c>
      <c r="H21" t="s">
        <v>547</v>
      </c>
      <c r="I21" t="s">
        <v>9</v>
      </c>
    </row>
    <row r="22" spans="1:9" x14ac:dyDescent="0.3">
      <c r="A22" t="s">
        <v>95</v>
      </c>
      <c r="B22" t="s">
        <v>546</v>
      </c>
      <c r="C22" t="s">
        <v>202</v>
      </c>
      <c r="D22" t="s">
        <v>526</v>
      </c>
      <c r="E22" t="s">
        <v>545</v>
      </c>
      <c r="F22" t="s">
        <v>535</v>
      </c>
      <c r="G22" t="s">
        <v>544</v>
      </c>
      <c r="H22" t="s">
        <v>543</v>
      </c>
      <c r="I22" t="s">
        <v>9</v>
      </c>
    </row>
    <row r="23" spans="1:9" x14ac:dyDescent="0.3">
      <c r="A23" t="s">
        <v>95</v>
      </c>
      <c r="B23" t="s">
        <v>542</v>
      </c>
      <c r="C23" t="s">
        <v>202</v>
      </c>
      <c r="D23" t="s">
        <v>201</v>
      </c>
      <c r="E23" t="s">
        <v>536</v>
      </c>
      <c r="F23" t="s">
        <v>221</v>
      </c>
      <c r="G23" t="s">
        <v>541</v>
      </c>
      <c r="H23" t="s">
        <v>540</v>
      </c>
      <c r="I23" t="s">
        <v>9</v>
      </c>
    </row>
    <row r="24" spans="1:9" x14ac:dyDescent="0.3">
      <c r="A24" t="s">
        <v>95</v>
      </c>
      <c r="B24" t="s">
        <v>539</v>
      </c>
      <c r="C24" t="s">
        <v>202</v>
      </c>
      <c r="D24" t="s">
        <v>201</v>
      </c>
      <c r="E24" t="s">
        <v>536</v>
      </c>
      <c r="F24" t="s">
        <v>221</v>
      </c>
      <c r="G24" t="s">
        <v>360</v>
      </c>
      <c r="H24" t="s">
        <v>538</v>
      </c>
      <c r="I24" t="s">
        <v>9</v>
      </c>
    </row>
    <row r="25" spans="1:9" x14ac:dyDescent="0.3">
      <c r="A25" t="s">
        <v>95</v>
      </c>
      <c r="B25" t="s">
        <v>537</v>
      </c>
      <c r="C25" t="s">
        <v>202</v>
      </c>
      <c r="D25" t="s">
        <v>201</v>
      </c>
      <c r="E25" t="s">
        <v>536</v>
      </c>
      <c r="F25" t="s">
        <v>535</v>
      </c>
      <c r="G25" t="s">
        <v>534</v>
      </c>
      <c r="H25" t="s">
        <v>533</v>
      </c>
      <c r="I25" t="s">
        <v>9</v>
      </c>
    </row>
    <row r="26" spans="1:9" x14ac:dyDescent="0.3">
      <c r="A26" t="s">
        <v>105</v>
      </c>
      <c r="B26" t="s">
        <v>532</v>
      </c>
      <c r="C26" t="s">
        <v>202</v>
      </c>
      <c r="D26" t="s">
        <v>211</v>
      </c>
      <c r="E26" t="s">
        <v>531</v>
      </c>
      <c r="F26" t="s">
        <v>530</v>
      </c>
      <c r="G26" t="s">
        <v>529</v>
      </c>
      <c r="H26" t="s">
        <v>528</v>
      </c>
      <c r="I26" t="s">
        <v>9</v>
      </c>
    </row>
    <row r="27" spans="1:9" x14ac:dyDescent="0.3">
      <c r="A27" t="s">
        <v>107</v>
      </c>
      <c r="B27" t="s">
        <v>527</v>
      </c>
      <c r="C27" t="s">
        <v>202</v>
      </c>
      <c r="D27" t="s">
        <v>526</v>
      </c>
      <c r="E27" t="s">
        <v>525</v>
      </c>
      <c r="F27" t="s">
        <v>524</v>
      </c>
      <c r="G27" t="s">
        <v>523</v>
      </c>
      <c r="H27" t="s">
        <v>522</v>
      </c>
      <c r="I27" t="s">
        <v>9</v>
      </c>
    </row>
    <row r="28" spans="1:9" x14ac:dyDescent="0.3">
      <c r="A28" t="s">
        <v>110</v>
      </c>
      <c r="B28" t="s">
        <v>277</v>
      </c>
      <c r="C28" t="s">
        <v>257</v>
      </c>
      <c r="D28" t="s">
        <v>256</v>
      </c>
      <c r="E28" t="s">
        <v>521</v>
      </c>
      <c r="F28" t="s">
        <v>221</v>
      </c>
      <c r="G28" t="s">
        <v>254</v>
      </c>
      <c r="H28" t="s">
        <v>520</v>
      </c>
      <c r="I28" t="s">
        <v>9</v>
      </c>
    </row>
    <row r="29" spans="1:9" x14ac:dyDescent="0.3">
      <c r="A29" t="s">
        <v>110</v>
      </c>
      <c r="B29" t="s">
        <v>519</v>
      </c>
      <c r="C29" t="s">
        <v>202</v>
      </c>
      <c r="D29" t="s">
        <v>201</v>
      </c>
      <c r="E29" t="s">
        <v>518</v>
      </c>
      <c r="F29" t="s">
        <v>221</v>
      </c>
      <c r="G29" t="s">
        <v>517</v>
      </c>
      <c r="H29" t="s">
        <v>516</v>
      </c>
      <c r="I29" t="s">
        <v>9</v>
      </c>
    </row>
    <row r="30" spans="1:9" x14ac:dyDescent="0.3">
      <c r="A30" t="s">
        <v>111</v>
      </c>
      <c r="B30" t="s">
        <v>515</v>
      </c>
      <c r="C30" t="s">
        <v>257</v>
      </c>
      <c r="D30" t="s">
        <v>256</v>
      </c>
      <c r="E30" t="s">
        <v>514</v>
      </c>
      <c r="F30" t="s">
        <v>221</v>
      </c>
      <c r="G30" t="s">
        <v>254</v>
      </c>
      <c r="H30" t="s">
        <v>510</v>
      </c>
      <c r="I30" t="s">
        <v>9</v>
      </c>
    </row>
    <row r="31" spans="1:9" x14ac:dyDescent="0.3">
      <c r="A31" t="s">
        <v>111</v>
      </c>
      <c r="B31" t="s">
        <v>513</v>
      </c>
      <c r="C31" t="s">
        <v>257</v>
      </c>
      <c r="D31" t="s">
        <v>256</v>
      </c>
      <c r="E31" t="s">
        <v>512</v>
      </c>
      <c r="F31" t="s">
        <v>511</v>
      </c>
      <c r="G31" t="s">
        <v>254</v>
      </c>
      <c r="H31" t="s">
        <v>510</v>
      </c>
      <c r="I31" t="s">
        <v>9</v>
      </c>
    </row>
    <row r="32" spans="1:9" x14ac:dyDescent="0.3">
      <c r="A32" t="s">
        <v>111</v>
      </c>
      <c r="B32" t="s">
        <v>509</v>
      </c>
      <c r="C32" t="s">
        <v>207</v>
      </c>
      <c r="D32" t="s">
        <v>206</v>
      </c>
      <c r="E32" t="s">
        <v>508</v>
      </c>
      <c r="F32" t="s">
        <v>507</v>
      </c>
      <c r="G32" t="s">
        <v>430</v>
      </c>
      <c r="H32" t="s">
        <v>506</v>
      </c>
      <c r="I32" t="s">
        <v>9</v>
      </c>
    </row>
    <row r="33" spans="1:9" x14ac:dyDescent="0.3">
      <c r="A33" t="s">
        <v>111</v>
      </c>
      <c r="B33" t="s">
        <v>505</v>
      </c>
      <c r="C33" t="s">
        <v>202</v>
      </c>
      <c r="D33" t="s">
        <v>201</v>
      </c>
      <c r="E33" t="s">
        <v>504</v>
      </c>
      <c r="F33" t="s">
        <v>503</v>
      </c>
      <c r="G33" t="s">
        <v>502</v>
      </c>
      <c r="H33" t="s">
        <v>501</v>
      </c>
      <c r="I33" t="s">
        <v>9</v>
      </c>
    </row>
    <row r="34" spans="1:9" x14ac:dyDescent="0.3">
      <c r="A34" t="s">
        <v>118</v>
      </c>
      <c r="B34" t="s">
        <v>277</v>
      </c>
      <c r="C34" t="s">
        <v>257</v>
      </c>
      <c r="D34" t="s">
        <v>256</v>
      </c>
      <c r="E34" t="s">
        <v>500</v>
      </c>
      <c r="F34" t="s">
        <v>499</v>
      </c>
      <c r="G34" t="s">
        <v>254</v>
      </c>
      <c r="H34" t="s">
        <v>494</v>
      </c>
      <c r="I34" t="s">
        <v>9</v>
      </c>
    </row>
    <row r="35" spans="1:9" x14ac:dyDescent="0.3">
      <c r="A35" t="s">
        <v>118</v>
      </c>
      <c r="B35" t="s">
        <v>498</v>
      </c>
      <c r="C35" t="s">
        <v>202</v>
      </c>
      <c r="D35" t="s">
        <v>201</v>
      </c>
      <c r="E35" t="s">
        <v>497</v>
      </c>
      <c r="F35" t="s">
        <v>496</v>
      </c>
      <c r="G35" t="s">
        <v>495</v>
      </c>
      <c r="H35" t="s">
        <v>494</v>
      </c>
      <c r="I35" t="s">
        <v>9</v>
      </c>
    </row>
    <row r="36" spans="1:9" x14ac:dyDescent="0.3">
      <c r="A36" t="s">
        <v>119</v>
      </c>
      <c r="B36" t="s">
        <v>493</v>
      </c>
      <c r="C36" t="s">
        <v>202</v>
      </c>
      <c r="D36" t="s">
        <v>201</v>
      </c>
      <c r="E36" t="s">
        <v>478</v>
      </c>
      <c r="F36" t="s">
        <v>470</v>
      </c>
      <c r="G36" t="s">
        <v>477</v>
      </c>
      <c r="H36" t="s">
        <v>464</v>
      </c>
      <c r="I36" t="s">
        <v>9</v>
      </c>
    </row>
    <row r="37" spans="1:9" x14ac:dyDescent="0.3">
      <c r="A37" t="s">
        <v>119</v>
      </c>
      <c r="B37" t="s">
        <v>492</v>
      </c>
      <c r="C37" t="s">
        <v>202</v>
      </c>
      <c r="D37" t="s">
        <v>201</v>
      </c>
      <c r="E37" t="s">
        <v>491</v>
      </c>
      <c r="F37" t="s">
        <v>221</v>
      </c>
      <c r="G37" t="s">
        <v>490</v>
      </c>
      <c r="H37" t="s">
        <v>489</v>
      </c>
      <c r="I37" t="s">
        <v>9</v>
      </c>
    </row>
    <row r="38" spans="1:9" x14ac:dyDescent="0.3">
      <c r="A38" t="s">
        <v>119</v>
      </c>
      <c r="B38" t="s">
        <v>488</v>
      </c>
      <c r="C38" t="s">
        <v>202</v>
      </c>
      <c r="D38" t="s">
        <v>201</v>
      </c>
      <c r="E38" t="s">
        <v>487</v>
      </c>
      <c r="F38" t="s">
        <v>221</v>
      </c>
      <c r="G38" t="s">
        <v>486</v>
      </c>
      <c r="H38" t="s">
        <v>482</v>
      </c>
      <c r="I38" t="s">
        <v>9</v>
      </c>
    </row>
    <row r="39" spans="1:9" x14ac:dyDescent="0.3">
      <c r="A39" t="s">
        <v>119</v>
      </c>
      <c r="B39" t="s">
        <v>485</v>
      </c>
      <c r="C39" t="s">
        <v>202</v>
      </c>
      <c r="D39" t="s">
        <v>201</v>
      </c>
      <c r="E39" t="s">
        <v>483</v>
      </c>
      <c r="F39" t="s">
        <v>474</v>
      </c>
      <c r="G39" t="s">
        <v>348</v>
      </c>
      <c r="H39" t="s">
        <v>482</v>
      </c>
      <c r="I39" t="s">
        <v>9</v>
      </c>
    </row>
    <row r="40" spans="1:9" x14ac:dyDescent="0.3">
      <c r="A40" t="s">
        <v>119</v>
      </c>
      <c r="B40" t="s">
        <v>484</v>
      </c>
      <c r="C40" t="s">
        <v>202</v>
      </c>
      <c r="D40" t="s">
        <v>201</v>
      </c>
      <c r="E40" t="s">
        <v>483</v>
      </c>
      <c r="F40" t="s">
        <v>221</v>
      </c>
      <c r="G40" t="s">
        <v>348</v>
      </c>
      <c r="H40" t="s">
        <v>482</v>
      </c>
      <c r="I40" t="s">
        <v>9</v>
      </c>
    </row>
    <row r="41" spans="1:9" x14ac:dyDescent="0.3">
      <c r="A41" t="s">
        <v>119</v>
      </c>
      <c r="B41" t="s">
        <v>481</v>
      </c>
      <c r="C41" t="s">
        <v>202</v>
      </c>
      <c r="D41" t="s">
        <v>201</v>
      </c>
      <c r="E41" t="s">
        <v>480</v>
      </c>
      <c r="F41" t="s">
        <v>221</v>
      </c>
      <c r="G41" t="s">
        <v>473</v>
      </c>
      <c r="H41" t="s">
        <v>464</v>
      </c>
      <c r="I41" t="s">
        <v>9</v>
      </c>
    </row>
    <row r="42" spans="1:9" x14ac:dyDescent="0.3">
      <c r="A42" t="s">
        <v>119</v>
      </c>
      <c r="B42" t="s">
        <v>479</v>
      </c>
      <c r="C42" t="s">
        <v>202</v>
      </c>
      <c r="D42" t="s">
        <v>201</v>
      </c>
      <c r="E42" t="s">
        <v>478</v>
      </c>
      <c r="F42" t="s">
        <v>221</v>
      </c>
      <c r="G42" t="s">
        <v>477</v>
      </c>
      <c r="H42" t="s">
        <v>464</v>
      </c>
      <c r="I42" t="s">
        <v>9</v>
      </c>
    </row>
    <row r="43" spans="1:9" x14ac:dyDescent="0.3">
      <c r="A43" t="s">
        <v>119</v>
      </c>
      <c r="B43" t="s">
        <v>476</v>
      </c>
      <c r="C43" t="s">
        <v>202</v>
      </c>
      <c r="D43" t="s">
        <v>201</v>
      </c>
      <c r="E43" t="s">
        <v>475</v>
      </c>
      <c r="F43" t="s">
        <v>474</v>
      </c>
      <c r="G43" t="s">
        <v>473</v>
      </c>
      <c r="H43" t="s">
        <v>464</v>
      </c>
      <c r="I43" t="s">
        <v>9</v>
      </c>
    </row>
    <row r="44" spans="1:9" x14ac:dyDescent="0.3">
      <c r="A44" t="s">
        <v>119</v>
      </c>
      <c r="B44" t="s">
        <v>472</v>
      </c>
      <c r="C44" t="s">
        <v>202</v>
      </c>
      <c r="D44" t="s">
        <v>201</v>
      </c>
      <c r="E44" t="s">
        <v>471</v>
      </c>
      <c r="F44" t="s">
        <v>470</v>
      </c>
      <c r="G44" t="s">
        <v>469</v>
      </c>
      <c r="H44" t="s">
        <v>464</v>
      </c>
      <c r="I44" t="s">
        <v>9</v>
      </c>
    </row>
    <row r="45" spans="1:9" x14ac:dyDescent="0.3">
      <c r="A45" t="s">
        <v>121</v>
      </c>
      <c r="B45" t="s">
        <v>468</v>
      </c>
      <c r="C45" t="s">
        <v>207</v>
      </c>
      <c r="D45" t="s">
        <v>391</v>
      </c>
      <c r="E45" t="s">
        <v>436</v>
      </c>
      <c r="F45" t="s">
        <v>467</v>
      </c>
      <c r="G45" t="s">
        <v>404</v>
      </c>
      <c r="H45" t="s">
        <v>466</v>
      </c>
      <c r="I45" t="s">
        <v>9</v>
      </c>
    </row>
    <row r="46" spans="1:9" x14ac:dyDescent="0.3">
      <c r="A46" t="s">
        <v>121</v>
      </c>
      <c r="B46" t="s">
        <v>465</v>
      </c>
      <c r="C46" t="s">
        <v>202</v>
      </c>
      <c r="D46" t="s">
        <v>217</v>
      </c>
      <c r="E46" t="s">
        <v>462</v>
      </c>
      <c r="F46" t="s">
        <v>237</v>
      </c>
      <c r="G46" t="s">
        <v>461</v>
      </c>
      <c r="H46" t="s">
        <v>464</v>
      </c>
      <c r="I46" t="s">
        <v>9</v>
      </c>
    </row>
    <row r="47" spans="1:9" x14ac:dyDescent="0.3">
      <c r="A47" t="s">
        <v>121</v>
      </c>
      <c r="B47" t="s">
        <v>463</v>
      </c>
      <c r="C47" t="s">
        <v>202</v>
      </c>
      <c r="D47" t="s">
        <v>217</v>
      </c>
      <c r="E47" t="s">
        <v>462</v>
      </c>
      <c r="F47" t="s">
        <v>237</v>
      </c>
      <c r="G47" t="s">
        <v>461</v>
      </c>
      <c r="H47" t="s">
        <v>460</v>
      </c>
      <c r="I47" t="s">
        <v>9</v>
      </c>
    </row>
    <row r="48" spans="1:9" x14ac:dyDescent="0.3">
      <c r="A48" t="s">
        <v>121</v>
      </c>
      <c r="B48" t="s">
        <v>459</v>
      </c>
      <c r="C48" t="s">
        <v>202</v>
      </c>
      <c r="D48" t="s">
        <v>217</v>
      </c>
      <c r="E48" t="s">
        <v>458</v>
      </c>
      <c r="F48" t="s">
        <v>457</v>
      </c>
      <c r="G48" t="s">
        <v>456</v>
      </c>
      <c r="H48" t="s">
        <v>455</v>
      </c>
      <c r="I48" t="s">
        <v>9</v>
      </c>
    </row>
    <row r="49" spans="1:9" x14ac:dyDescent="0.3">
      <c r="A49" t="s">
        <v>121</v>
      </c>
      <c r="B49" t="s">
        <v>454</v>
      </c>
      <c r="C49" t="s">
        <v>202</v>
      </c>
      <c r="D49" t="s">
        <v>201</v>
      </c>
      <c r="E49" t="s">
        <v>446</v>
      </c>
      <c r="F49" t="s">
        <v>221</v>
      </c>
      <c r="G49" t="s">
        <v>453</v>
      </c>
      <c r="H49" t="s">
        <v>452</v>
      </c>
      <c r="I49" t="s">
        <v>9</v>
      </c>
    </row>
    <row r="50" spans="1:9" x14ac:dyDescent="0.3">
      <c r="A50" t="s">
        <v>121</v>
      </c>
      <c r="B50" t="s">
        <v>451</v>
      </c>
      <c r="C50" t="s">
        <v>202</v>
      </c>
      <c r="D50" t="s">
        <v>201</v>
      </c>
      <c r="E50" t="s">
        <v>446</v>
      </c>
      <c r="F50" t="s">
        <v>221</v>
      </c>
      <c r="G50" t="s">
        <v>448</v>
      </c>
      <c r="H50" t="s">
        <v>438</v>
      </c>
      <c r="I50" t="s">
        <v>9</v>
      </c>
    </row>
    <row r="51" spans="1:9" x14ac:dyDescent="0.3">
      <c r="A51" t="s">
        <v>121</v>
      </c>
      <c r="B51" t="s">
        <v>450</v>
      </c>
      <c r="C51" t="s">
        <v>202</v>
      </c>
      <c r="D51" t="s">
        <v>201</v>
      </c>
      <c r="E51" t="s">
        <v>446</v>
      </c>
      <c r="F51" t="s">
        <v>221</v>
      </c>
      <c r="G51" t="s">
        <v>352</v>
      </c>
      <c r="H51" t="s">
        <v>434</v>
      </c>
      <c r="I51" t="s">
        <v>9</v>
      </c>
    </row>
    <row r="52" spans="1:9" x14ac:dyDescent="0.3">
      <c r="A52" t="s">
        <v>121</v>
      </c>
      <c r="B52" t="s">
        <v>449</v>
      </c>
      <c r="C52" t="s">
        <v>202</v>
      </c>
      <c r="D52" t="s">
        <v>201</v>
      </c>
      <c r="E52" t="s">
        <v>446</v>
      </c>
      <c r="F52" t="s">
        <v>445</v>
      </c>
      <c r="G52" t="s">
        <v>448</v>
      </c>
      <c r="H52" t="s">
        <v>438</v>
      </c>
      <c r="I52" t="s">
        <v>9</v>
      </c>
    </row>
    <row r="53" spans="1:9" x14ac:dyDescent="0.3">
      <c r="A53" t="s">
        <v>121</v>
      </c>
      <c r="B53" t="s">
        <v>447</v>
      </c>
      <c r="C53" t="s">
        <v>202</v>
      </c>
      <c r="D53" t="s">
        <v>201</v>
      </c>
      <c r="E53" t="s">
        <v>446</v>
      </c>
      <c r="F53" t="s">
        <v>445</v>
      </c>
      <c r="G53" t="s">
        <v>352</v>
      </c>
      <c r="H53" t="s">
        <v>434</v>
      </c>
      <c r="I53" t="s">
        <v>9</v>
      </c>
    </row>
    <row r="54" spans="1:9" x14ac:dyDescent="0.3">
      <c r="A54" t="s">
        <v>121</v>
      </c>
      <c r="B54" t="s">
        <v>442</v>
      </c>
      <c r="C54" t="s">
        <v>202</v>
      </c>
      <c r="D54" t="s">
        <v>201</v>
      </c>
      <c r="E54" t="s">
        <v>436</v>
      </c>
      <c r="F54" t="s">
        <v>441</v>
      </c>
      <c r="G54" t="s">
        <v>439</v>
      </c>
      <c r="H54" t="s">
        <v>438</v>
      </c>
      <c r="I54" t="s">
        <v>9</v>
      </c>
    </row>
    <row r="55" spans="1:9" x14ac:dyDescent="0.3">
      <c r="A55" t="s">
        <v>121</v>
      </c>
      <c r="B55" t="s">
        <v>440</v>
      </c>
      <c r="C55" t="s">
        <v>202</v>
      </c>
      <c r="D55" t="s">
        <v>201</v>
      </c>
      <c r="E55" t="s">
        <v>436</v>
      </c>
      <c r="F55" t="s">
        <v>221</v>
      </c>
      <c r="G55" t="s">
        <v>439</v>
      </c>
      <c r="H55" t="s">
        <v>438</v>
      </c>
      <c r="I55" t="s">
        <v>9</v>
      </c>
    </row>
    <row r="56" spans="1:9" x14ac:dyDescent="0.3">
      <c r="A56" t="s">
        <v>126</v>
      </c>
      <c r="B56" t="s">
        <v>433</v>
      </c>
      <c r="C56" t="s">
        <v>207</v>
      </c>
      <c r="D56" t="s">
        <v>206</v>
      </c>
      <c r="E56" t="s">
        <v>432</v>
      </c>
      <c r="F56" t="s">
        <v>431</v>
      </c>
      <c r="G56" t="s">
        <v>430</v>
      </c>
      <c r="H56" t="s">
        <v>411</v>
      </c>
      <c r="I56" t="s">
        <v>9</v>
      </c>
    </row>
    <row r="57" spans="1:9" x14ac:dyDescent="0.3">
      <c r="A57" t="s">
        <v>126</v>
      </c>
      <c r="B57" t="s">
        <v>429</v>
      </c>
      <c r="C57" t="s">
        <v>428</v>
      </c>
      <c r="D57" t="s">
        <v>427</v>
      </c>
      <c r="E57" t="s">
        <v>426</v>
      </c>
      <c r="F57" t="s">
        <v>425</v>
      </c>
      <c r="G57" t="s">
        <v>424</v>
      </c>
      <c r="H57" t="s">
        <v>411</v>
      </c>
      <c r="I57" t="s">
        <v>9</v>
      </c>
    </row>
    <row r="58" spans="1:9" x14ac:dyDescent="0.3">
      <c r="A58" t="s">
        <v>126</v>
      </c>
      <c r="B58" t="s">
        <v>423</v>
      </c>
      <c r="C58" t="s">
        <v>202</v>
      </c>
      <c r="D58" t="s">
        <v>201</v>
      </c>
      <c r="E58" t="s">
        <v>422</v>
      </c>
      <c r="F58" t="s">
        <v>421</v>
      </c>
      <c r="G58" t="s">
        <v>420</v>
      </c>
      <c r="H58" t="s">
        <v>419</v>
      </c>
      <c r="I58" t="s">
        <v>9</v>
      </c>
    </row>
    <row r="59" spans="1:9" x14ac:dyDescent="0.3">
      <c r="A59" t="s">
        <v>126</v>
      </c>
      <c r="B59" t="s">
        <v>418</v>
      </c>
      <c r="C59" t="s">
        <v>207</v>
      </c>
      <c r="D59" t="s">
        <v>391</v>
      </c>
      <c r="E59" t="s">
        <v>417</v>
      </c>
      <c r="F59" t="s">
        <v>413</v>
      </c>
      <c r="G59" t="s">
        <v>416</v>
      </c>
      <c r="H59" t="s">
        <v>411</v>
      </c>
      <c r="I59" t="s">
        <v>9</v>
      </c>
    </row>
    <row r="60" spans="1:9" x14ac:dyDescent="0.3">
      <c r="A60" t="s">
        <v>126</v>
      </c>
      <c r="B60" t="s">
        <v>415</v>
      </c>
      <c r="C60" t="s">
        <v>202</v>
      </c>
      <c r="D60" t="s">
        <v>201</v>
      </c>
      <c r="E60" t="s">
        <v>414</v>
      </c>
      <c r="F60" t="s">
        <v>413</v>
      </c>
      <c r="G60" t="s">
        <v>412</v>
      </c>
      <c r="H60" t="s">
        <v>411</v>
      </c>
      <c r="I60" t="s">
        <v>9</v>
      </c>
    </row>
    <row r="61" spans="1:9" x14ac:dyDescent="0.3">
      <c r="A61" t="s">
        <v>128</v>
      </c>
      <c r="B61" t="s">
        <v>410</v>
      </c>
      <c r="C61" t="s">
        <v>207</v>
      </c>
      <c r="D61" t="s">
        <v>206</v>
      </c>
      <c r="E61" t="s">
        <v>409</v>
      </c>
      <c r="F61" t="s">
        <v>408</v>
      </c>
      <c r="G61" t="s">
        <v>204</v>
      </c>
      <c r="H61" t="s">
        <v>403</v>
      </c>
      <c r="I61" t="s">
        <v>9</v>
      </c>
    </row>
    <row r="62" spans="1:9" x14ac:dyDescent="0.3">
      <c r="A62" t="s">
        <v>128</v>
      </c>
      <c r="B62" t="s">
        <v>407</v>
      </c>
      <c r="C62" t="s">
        <v>207</v>
      </c>
      <c r="D62" t="s">
        <v>391</v>
      </c>
      <c r="E62" t="s">
        <v>406</v>
      </c>
      <c r="F62" t="s">
        <v>405</v>
      </c>
      <c r="G62" t="s">
        <v>404</v>
      </c>
      <c r="H62" t="s">
        <v>403</v>
      </c>
      <c r="I62" t="s">
        <v>9</v>
      </c>
    </row>
    <row r="63" spans="1:9" x14ac:dyDescent="0.3">
      <c r="A63" t="s">
        <v>132</v>
      </c>
      <c r="B63" t="s">
        <v>402</v>
      </c>
      <c r="C63" t="s">
        <v>257</v>
      </c>
      <c r="D63" t="s">
        <v>256</v>
      </c>
      <c r="E63" t="s">
        <v>401</v>
      </c>
      <c r="F63" t="s">
        <v>221</v>
      </c>
      <c r="G63" t="s">
        <v>254</v>
      </c>
      <c r="H63" t="s">
        <v>393</v>
      </c>
      <c r="I63" t="s">
        <v>9</v>
      </c>
    </row>
    <row r="64" spans="1:9" x14ac:dyDescent="0.3">
      <c r="A64" t="s">
        <v>132</v>
      </c>
      <c r="B64" t="s">
        <v>400</v>
      </c>
      <c r="C64" t="s">
        <v>202</v>
      </c>
      <c r="D64" t="s">
        <v>211</v>
      </c>
      <c r="E64" t="s">
        <v>399</v>
      </c>
      <c r="F64" t="s">
        <v>398</v>
      </c>
      <c r="G64" t="s">
        <v>394</v>
      </c>
      <c r="H64" t="s">
        <v>393</v>
      </c>
      <c r="I64" t="s">
        <v>9</v>
      </c>
    </row>
    <row r="65" spans="1:9" x14ac:dyDescent="0.3">
      <c r="A65" t="s">
        <v>132</v>
      </c>
      <c r="B65" t="s">
        <v>397</v>
      </c>
      <c r="C65" t="s">
        <v>202</v>
      </c>
      <c r="D65" t="s">
        <v>211</v>
      </c>
      <c r="E65" t="s">
        <v>396</v>
      </c>
      <c r="F65" t="s">
        <v>395</v>
      </c>
      <c r="G65" t="s">
        <v>394</v>
      </c>
      <c r="H65" t="s">
        <v>393</v>
      </c>
      <c r="I65" t="s">
        <v>9</v>
      </c>
    </row>
    <row r="66" spans="1:9" x14ac:dyDescent="0.3">
      <c r="A66" t="s">
        <v>134</v>
      </c>
      <c r="B66" t="s">
        <v>392</v>
      </c>
      <c r="C66" t="s">
        <v>207</v>
      </c>
      <c r="D66" t="s">
        <v>391</v>
      </c>
      <c r="E66" t="s">
        <v>390</v>
      </c>
      <c r="F66" t="s">
        <v>378</v>
      </c>
      <c r="G66" t="s">
        <v>389</v>
      </c>
      <c r="H66" t="s">
        <v>377</v>
      </c>
      <c r="I66" t="s">
        <v>9</v>
      </c>
    </row>
    <row r="67" spans="1:9" x14ac:dyDescent="0.3">
      <c r="A67" t="s">
        <v>134</v>
      </c>
      <c r="B67" t="s">
        <v>388</v>
      </c>
      <c r="C67" t="s">
        <v>202</v>
      </c>
      <c r="D67" t="s">
        <v>201</v>
      </c>
      <c r="E67" t="s">
        <v>387</v>
      </c>
      <c r="F67" t="s">
        <v>386</v>
      </c>
      <c r="G67" t="s">
        <v>385</v>
      </c>
      <c r="H67" t="s">
        <v>384</v>
      </c>
      <c r="I67" t="s">
        <v>9</v>
      </c>
    </row>
    <row r="68" spans="1:9" x14ac:dyDescent="0.3">
      <c r="A68" t="s">
        <v>134</v>
      </c>
      <c r="B68" t="s">
        <v>383</v>
      </c>
      <c r="C68" t="s">
        <v>202</v>
      </c>
      <c r="D68" t="s">
        <v>201</v>
      </c>
      <c r="E68" t="s">
        <v>382</v>
      </c>
      <c r="F68" t="s">
        <v>381</v>
      </c>
      <c r="G68" t="s">
        <v>380</v>
      </c>
      <c r="H68" t="s">
        <v>377</v>
      </c>
      <c r="I68" t="s">
        <v>9</v>
      </c>
    </row>
    <row r="69" spans="1:9" x14ac:dyDescent="0.3">
      <c r="A69" t="s">
        <v>134</v>
      </c>
      <c r="B69" t="s">
        <v>277</v>
      </c>
      <c r="C69" t="s">
        <v>257</v>
      </c>
      <c r="D69" t="s">
        <v>256</v>
      </c>
      <c r="E69" t="s">
        <v>379</v>
      </c>
      <c r="F69" t="s">
        <v>378</v>
      </c>
      <c r="G69" t="s">
        <v>254</v>
      </c>
      <c r="H69" t="s">
        <v>377</v>
      </c>
      <c r="I69" t="s">
        <v>9</v>
      </c>
    </row>
    <row r="70" spans="1:9" x14ac:dyDescent="0.3">
      <c r="A70" t="s">
        <v>137</v>
      </c>
      <c r="B70" t="s">
        <v>369</v>
      </c>
      <c r="C70" t="s">
        <v>202</v>
      </c>
      <c r="D70" t="s">
        <v>201</v>
      </c>
      <c r="E70" t="s">
        <v>368</v>
      </c>
      <c r="F70" t="s">
        <v>367</v>
      </c>
      <c r="G70" t="s">
        <v>364</v>
      </c>
      <c r="H70" t="s">
        <v>363</v>
      </c>
      <c r="I70" t="s">
        <v>9</v>
      </c>
    </row>
    <row r="71" spans="1:9" x14ac:dyDescent="0.3">
      <c r="A71" t="s">
        <v>137</v>
      </c>
      <c r="B71" t="s">
        <v>366</v>
      </c>
      <c r="C71" t="s">
        <v>202</v>
      </c>
      <c r="D71" t="s">
        <v>201</v>
      </c>
      <c r="E71" t="s">
        <v>365</v>
      </c>
      <c r="F71" t="s">
        <v>221</v>
      </c>
      <c r="G71" t="s">
        <v>364</v>
      </c>
      <c r="H71" t="s">
        <v>363</v>
      </c>
      <c r="I71" t="s">
        <v>9</v>
      </c>
    </row>
    <row r="72" spans="1:9" x14ac:dyDescent="0.3">
      <c r="A72" t="s">
        <v>144</v>
      </c>
      <c r="B72" t="s">
        <v>354</v>
      </c>
      <c r="C72" t="s">
        <v>202</v>
      </c>
      <c r="D72" t="s">
        <v>201</v>
      </c>
      <c r="E72" t="s">
        <v>353</v>
      </c>
      <c r="F72" t="s">
        <v>349</v>
      </c>
      <c r="G72" t="s">
        <v>352</v>
      </c>
      <c r="H72" t="s">
        <v>347</v>
      </c>
      <c r="I72" t="s">
        <v>9</v>
      </c>
    </row>
    <row r="73" spans="1:9" x14ac:dyDescent="0.3">
      <c r="A73" t="s">
        <v>144</v>
      </c>
      <c r="B73" t="s">
        <v>351</v>
      </c>
      <c r="C73" t="s">
        <v>202</v>
      </c>
      <c r="D73" t="s">
        <v>201</v>
      </c>
      <c r="E73" t="s">
        <v>350</v>
      </c>
      <c r="F73" t="s">
        <v>349</v>
      </c>
      <c r="G73" t="s">
        <v>348</v>
      </c>
      <c r="H73" t="s">
        <v>347</v>
      </c>
      <c r="I73" t="s">
        <v>9</v>
      </c>
    </row>
    <row r="74" spans="1:9" x14ac:dyDescent="0.3">
      <c r="A74" t="s">
        <v>146</v>
      </c>
      <c r="B74" t="s">
        <v>346</v>
      </c>
      <c r="C74" t="s">
        <v>202</v>
      </c>
      <c r="D74" t="s">
        <v>201</v>
      </c>
      <c r="E74" t="s">
        <v>334</v>
      </c>
      <c r="F74" t="s">
        <v>221</v>
      </c>
      <c r="G74" t="s">
        <v>345</v>
      </c>
      <c r="H74" t="s">
        <v>331</v>
      </c>
      <c r="I74" t="s">
        <v>9</v>
      </c>
    </row>
    <row r="75" spans="1:9" x14ac:dyDescent="0.3">
      <c r="A75" t="s">
        <v>146</v>
      </c>
      <c r="B75" t="s">
        <v>344</v>
      </c>
      <c r="C75" t="s">
        <v>202</v>
      </c>
      <c r="D75" t="s">
        <v>201</v>
      </c>
      <c r="E75" t="s">
        <v>343</v>
      </c>
      <c r="F75" t="s">
        <v>342</v>
      </c>
      <c r="G75" t="s">
        <v>341</v>
      </c>
      <c r="H75" t="s">
        <v>331</v>
      </c>
      <c r="I75" t="s">
        <v>9</v>
      </c>
    </row>
    <row r="76" spans="1:9" x14ac:dyDescent="0.3">
      <c r="A76" t="s">
        <v>146</v>
      </c>
      <c r="B76" t="s">
        <v>340</v>
      </c>
      <c r="C76" t="s">
        <v>202</v>
      </c>
      <c r="D76" t="s">
        <v>217</v>
      </c>
      <c r="E76" t="s">
        <v>334</v>
      </c>
      <c r="F76" t="s">
        <v>339</v>
      </c>
      <c r="G76" t="s">
        <v>338</v>
      </c>
      <c r="H76" t="s">
        <v>331</v>
      </c>
      <c r="I76" t="s">
        <v>9</v>
      </c>
    </row>
    <row r="77" spans="1:9" x14ac:dyDescent="0.3">
      <c r="A77" t="s">
        <v>146</v>
      </c>
      <c r="B77" t="s">
        <v>337</v>
      </c>
      <c r="C77" t="s">
        <v>257</v>
      </c>
      <c r="D77" t="s">
        <v>256</v>
      </c>
      <c r="E77" t="s">
        <v>334</v>
      </c>
      <c r="F77" t="s">
        <v>336</v>
      </c>
      <c r="G77" t="s">
        <v>254</v>
      </c>
      <c r="H77" t="s">
        <v>331</v>
      </c>
      <c r="I77" t="s">
        <v>9</v>
      </c>
    </row>
    <row r="78" spans="1:9" x14ac:dyDescent="0.3">
      <c r="A78" t="s">
        <v>146</v>
      </c>
      <c r="B78" t="s">
        <v>335</v>
      </c>
      <c r="C78" t="s">
        <v>202</v>
      </c>
      <c r="D78" t="s">
        <v>201</v>
      </c>
      <c r="E78" t="s">
        <v>334</v>
      </c>
      <c r="F78" t="s">
        <v>333</v>
      </c>
      <c r="G78" t="s">
        <v>332</v>
      </c>
      <c r="H78" t="s">
        <v>331</v>
      </c>
      <c r="I78" t="s">
        <v>9</v>
      </c>
    </row>
    <row r="79" spans="1:9" x14ac:dyDescent="0.3">
      <c r="A79" t="s">
        <v>150</v>
      </c>
      <c r="B79" t="s">
        <v>330</v>
      </c>
      <c r="C79" t="s">
        <v>202</v>
      </c>
      <c r="D79" t="s">
        <v>201</v>
      </c>
      <c r="E79" t="s">
        <v>318</v>
      </c>
      <c r="F79" t="s">
        <v>329</v>
      </c>
      <c r="G79" t="s">
        <v>328</v>
      </c>
      <c r="H79" t="s">
        <v>327</v>
      </c>
      <c r="I79" t="s">
        <v>9</v>
      </c>
    </row>
    <row r="80" spans="1:9" x14ac:dyDescent="0.3">
      <c r="A80" t="s">
        <v>150</v>
      </c>
      <c r="B80" t="s">
        <v>326</v>
      </c>
      <c r="C80" t="s">
        <v>202</v>
      </c>
      <c r="D80" t="s">
        <v>201</v>
      </c>
      <c r="E80" t="s">
        <v>325</v>
      </c>
      <c r="F80" t="s">
        <v>221</v>
      </c>
      <c r="G80" t="s">
        <v>324</v>
      </c>
      <c r="H80" t="s">
        <v>320</v>
      </c>
      <c r="I80" t="s">
        <v>9</v>
      </c>
    </row>
    <row r="81" spans="1:9" x14ac:dyDescent="0.3">
      <c r="A81" t="s">
        <v>150</v>
      </c>
      <c r="B81" t="s">
        <v>323</v>
      </c>
      <c r="C81" t="s">
        <v>202</v>
      </c>
      <c r="D81" t="s">
        <v>201</v>
      </c>
      <c r="E81" t="s">
        <v>322</v>
      </c>
      <c r="F81" t="s">
        <v>221</v>
      </c>
      <c r="G81" t="s">
        <v>321</v>
      </c>
      <c r="H81" t="s">
        <v>320</v>
      </c>
      <c r="I81" t="s">
        <v>9</v>
      </c>
    </row>
    <row r="82" spans="1:9" x14ac:dyDescent="0.3">
      <c r="A82" t="s">
        <v>150</v>
      </c>
      <c r="B82" t="s">
        <v>319</v>
      </c>
      <c r="C82" t="s">
        <v>202</v>
      </c>
      <c r="D82" t="s">
        <v>201</v>
      </c>
      <c r="E82" t="s">
        <v>318</v>
      </c>
      <c r="F82" t="s">
        <v>221</v>
      </c>
      <c r="G82" t="s">
        <v>317</v>
      </c>
      <c r="H82" t="s">
        <v>316</v>
      </c>
      <c r="I82" t="s">
        <v>9</v>
      </c>
    </row>
    <row r="83" spans="1:9" x14ac:dyDescent="0.3">
      <c r="A83" t="s">
        <v>154</v>
      </c>
      <c r="B83" t="s">
        <v>315</v>
      </c>
      <c r="C83" t="s">
        <v>305</v>
      </c>
      <c r="D83" t="s">
        <v>304</v>
      </c>
      <c r="E83" t="s">
        <v>314</v>
      </c>
      <c r="F83" t="s">
        <v>313</v>
      </c>
      <c r="G83" t="s">
        <v>301</v>
      </c>
      <c r="H83" t="s">
        <v>312</v>
      </c>
      <c r="I83" t="s">
        <v>9</v>
      </c>
    </row>
    <row r="84" spans="1:9" x14ac:dyDescent="0.3">
      <c r="A84" t="s">
        <v>154</v>
      </c>
      <c r="B84" t="s">
        <v>311</v>
      </c>
      <c r="C84" t="s">
        <v>202</v>
      </c>
      <c r="D84" t="s">
        <v>217</v>
      </c>
      <c r="E84" t="s">
        <v>310</v>
      </c>
      <c r="F84" t="s">
        <v>309</v>
      </c>
      <c r="G84" t="s">
        <v>308</v>
      </c>
      <c r="H84" t="s">
        <v>307</v>
      </c>
      <c r="I84" t="s">
        <v>9</v>
      </c>
    </row>
    <row r="85" spans="1:9" x14ac:dyDescent="0.3">
      <c r="A85" t="s">
        <v>155</v>
      </c>
      <c r="B85" t="s">
        <v>306</v>
      </c>
      <c r="C85" t="s">
        <v>305</v>
      </c>
      <c r="D85" t="s">
        <v>304</v>
      </c>
      <c r="E85" t="s">
        <v>303</v>
      </c>
      <c r="F85" t="s">
        <v>302</v>
      </c>
      <c r="G85" t="s">
        <v>301</v>
      </c>
      <c r="H85" t="s">
        <v>300</v>
      </c>
      <c r="I85" t="s">
        <v>9</v>
      </c>
    </row>
    <row r="86" spans="1:9" x14ac:dyDescent="0.3">
      <c r="A86" t="s">
        <v>156</v>
      </c>
      <c r="B86" t="s">
        <v>277</v>
      </c>
      <c r="C86" t="s">
        <v>257</v>
      </c>
      <c r="D86" t="s">
        <v>256</v>
      </c>
      <c r="E86" t="s">
        <v>294</v>
      </c>
      <c r="F86" t="s">
        <v>293</v>
      </c>
      <c r="G86" t="s">
        <v>254</v>
      </c>
      <c r="H86" t="s">
        <v>291</v>
      </c>
      <c r="I86" t="s">
        <v>9</v>
      </c>
    </row>
    <row r="87" spans="1:9" x14ac:dyDescent="0.3">
      <c r="A87" t="s">
        <v>156</v>
      </c>
      <c r="B87" t="s">
        <v>299</v>
      </c>
      <c r="C87" t="s">
        <v>207</v>
      </c>
      <c r="D87" t="s">
        <v>206</v>
      </c>
      <c r="E87" t="s">
        <v>298</v>
      </c>
      <c r="F87" t="s">
        <v>293</v>
      </c>
      <c r="G87" t="s">
        <v>204</v>
      </c>
      <c r="H87" t="s">
        <v>291</v>
      </c>
      <c r="I87" t="s">
        <v>9</v>
      </c>
    </row>
    <row r="88" spans="1:9" x14ac:dyDescent="0.3">
      <c r="A88" t="s">
        <v>156</v>
      </c>
      <c r="B88" t="s">
        <v>297</v>
      </c>
      <c r="C88" t="s">
        <v>202</v>
      </c>
      <c r="D88" t="s">
        <v>201</v>
      </c>
      <c r="E88" t="s">
        <v>294</v>
      </c>
      <c r="F88" t="s">
        <v>293</v>
      </c>
      <c r="G88" t="s">
        <v>296</v>
      </c>
      <c r="H88" t="s">
        <v>291</v>
      </c>
      <c r="I88" t="s">
        <v>9</v>
      </c>
    </row>
    <row r="89" spans="1:9" x14ac:dyDescent="0.3">
      <c r="A89" t="s">
        <v>156</v>
      </c>
      <c r="B89" t="s">
        <v>295</v>
      </c>
      <c r="C89" t="s">
        <v>202</v>
      </c>
      <c r="D89" t="s">
        <v>211</v>
      </c>
      <c r="E89" t="s">
        <v>294</v>
      </c>
      <c r="F89" t="s">
        <v>293</v>
      </c>
      <c r="G89" t="s">
        <v>292</v>
      </c>
      <c r="H89" t="s">
        <v>291</v>
      </c>
      <c r="I89" t="s">
        <v>9</v>
      </c>
    </row>
    <row r="90" spans="1:9" x14ac:dyDescent="0.3">
      <c r="A90" t="s">
        <v>167</v>
      </c>
      <c r="B90" t="s">
        <v>290</v>
      </c>
      <c r="C90" t="s">
        <v>207</v>
      </c>
      <c r="D90" t="s">
        <v>206</v>
      </c>
      <c r="E90" t="s">
        <v>289</v>
      </c>
      <c r="F90" t="s">
        <v>280</v>
      </c>
      <c r="G90" t="s">
        <v>288</v>
      </c>
      <c r="H90" t="s">
        <v>278</v>
      </c>
      <c r="I90" t="s">
        <v>9</v>
      </c>
    </row>
    <row r="91" spans="1:9" x14ac:dyDescent="0.3">
      <c r="A91" t="s">
        <v>167</v>
      </c>
      <c r="B91" t="s">
        <v>277</v>
      </c>
      <c r="C91" t="s">
        <v>257</v>
      </c>
      <c r="D91" t="s">
        <v>256</v>
      </c>
      <c r="E91" t="s">
        <v>287</v>
      </c>
      <c r="F91" t="s">
        <v>280</v>
      </c>
      <c r="G91" t="s">
        <v>254</v>
      </c>
      <c r="H91" t="s">
        <v>278</v>
      </c>
      <c r="I91" t="s">
        <v>9</v>
      </c>
    </row>
    <row r="92" spans="1:9" x14ac:dyDescent="0.3">
      <c r="A92" t="s">
        <v>167</v>
      </c>
      <c r="B92" t="s">
        <v>286</v>
      </c>
      <c r="C92" t="s">
        <v>207</v>
      </c>
      <c r="D92" t="s">
        <v>206</v>
      </c>
      <c r="E92" t="s">
        <v>281</v>
      </c>
      <c r="F92" t="s">
        <v>280</v>
      </c>
      <c r="G92" t="s">
        <v>285</v>
      </c>
      <c r="H92" t="s">
        <v>278</v>
      </c>
      <c r="I92" t="s">
        <v>9</v>
      </c>
    </row>
    <row r="93" spans="1:9" x14ac:dyDescent="0.3">
      <c r="A93" t="s">
        <v>167</v>
      </c>
      <c r="B93" t="s">
        <v>284</v>
      </c>
      <c r="C93" t="s">
        <v>207</v>
      </c>
      <c r="D93" t="s">
        <v>206</v>
      </c>
      <c r="E93" t="s">
        <v>281</v>
      </c>
      <c r="F93" t="s">
        <v>280</v>
      </c>
      <c r="G93" t="s">
        <v>283</v>
      </c>
      <c r="H93" t="s">
        <v>278</v>
      </c>
      <c r="I93" t="s">
        <v>9</v>
      </c>
    </row>
    <row r="94" spans="1:9" x14ac:dyDescent="0.3">
      <c r="A94" t="s">
        <v>167</v>
      </c>
      <c r="B94" t="s">
        <v>282</v>
      </c>
      <c r="C94" t="s">
        <v>207</v>
      </c>
      <c r="D94" t="s">
        <v>206</v>
      </c>
      <c r="E94" t="s">
        <v>281</v>
      </c>
      <c r="F94" t="s">
        <v>280</v>
      </c>
      <c r="G94" t="s">
        <v>279</v>
      </c>
      <c r="H94" t="s">
        <v>278</v>
      </c>
      <c r="I94" t="s">
        <v>9</v>
      </c>
    </row>
    <row r="95" spans="1:9" x14ac:dyDescent="0.3">
      <c r="A95" t="s">
        <v>168</v>
      </c>
      <c r="B95" t="s">
        <v>277</v>
      </c>
      <c r="C95" t="s">
        <v>257</v>
      </c>
      <c r="D95" t="s">
        <v>256</v>
      </c>
      <c r="E95" t="s">
        <v>270</v>
      </c>
      <c r="F95" t="s">
        <v>221</v>
      </c>
      <c r="G95" t="s">
        <v>254</v>
      </c>
      <c r="H95" t="s">
        <v>276</v>
      </c>
      <c r="I95" t="s">
        <v>9</v>
      </c>
    </row>
    <row r="96" spans="1:9" x14ac:dyDescent="0.3">
      <c r="A96" t="s">
        <v>168</v>
      </c>
      <c r="B96" t="s">
        <v>275</v>
      </c>
      <c r="C96" t="s">
        <v>202</v>
      </c>
      <c r="D96" t="s">
        <v>233</v>
      </c>
      <c r="E96" t="s">
        <v>270</v>
      </c>
      <c r="F96" t="s">
        <v>272</v>
      </c>
      <c r="G96" t="s">
        <v>274</v>
      </c>
      <c r="H96" t="s">
        <v>268</v>
      </c>
      <c r="I96" t="s">
        <v>9</v>
      </c>
    </row>
    <row r="97" spans="1:9" x14ac:dyDescent="0.3">
      <c r="A97" t="s">
        <v>168</v>
      </c>
      <c r="B97" t="s">
        <v>273</v>
      </c>
      <c r="C97" t="s">
        <v>207</v>
      </c>
      <c r="D97" t="s">
        <v>206</v>
      </c>
      <c r="E97" t="s">
        <v>270</v>
      </c>
      <c r="F97" t="s">
        <v>272</v>
      </c>
      <c r="G97" t="s">
        <v>244</v>
      </c>
      <c r="H97" t="s">
        <v>268</v>
      </c>
      <c r="I97" t="s">
        <v>9</v>
      </c>
    </row>
    <row r="98" spans="1:9" x14ac:dyDescent="0.3">
      <c r="A98" t="s">
        <v>168</v>
      </c>
      <c r="B98" t="s">
        <v>271</v>
      </c>
      <c r="C98" t="s">
        <v>257</v>
      </c>
      <c r="D98" t="s">
        <v>256</v>
      </c>
      <c r="E98" t="s">
        <v>270</v>
      </c>
      <c r="F98" t="s">
        <v>269</v>
      </c>
      <c r="G98" t="s">
        <v>254</v>
      </c>
      <c r="H98" t="s">
        <v>268</v>
      </c>
      <c r="I98" t="s">
        <v>9</v>
      </c>
    </row>
    <row r="99" spans="1:9" x14ac:dyDescent="0.3">
      <c r="A99" t="s">
        <v>169</v>
      </c>
      <c r="B99" t="s">
        <v>267</v>
      </c>
      <c r="C99" t="s">
        <v>202</v>
      </c>
      <c r="D99" t="s">
        <v>201</v>
      </c>
      <c r="E99" t="s">
        <v>266</v>
      </c>
      <c r="F99" t="s">
        <v>261</v>
      </c>
      <c r="G99" t="s">
        <v>265</v>
      </c>
      <c r="H99" t="s">
        <v>259</v>
      </c>
      <c r="I99" t="s">
        <v>9</v>
      </c>
    </row>
    <row r="100" spans="1:9" x14ac:dyDescent="0.3">
      <c r="A100" t="s">
        <v>169</v>
      </c>
      <c r="B100" t="s">
        <v>264</v>
      </c>
      <c r="C100" t="s">
        <v>202</v>
      </c>
      <c r="D100" t="s">
        <v>263</v>
      </c>
      <c r="E100" t="s">
        <v>262</v>
      </c>
      <c r="F100" t="s">
        <v>261</v>
      </c>
      <c r="G100" t="s">
        <v>260</v>
      </c>
      <c r="H100" t="s">
        <v>259</v>
      </c>
      <c r="I100" t="s">
        <v>9</v>
      </c>
    </row>
    <row r="101" spans="1:9" x14ac:dyDescent="0.3">
      <c r="A101" t="s">
        <v>171</v>
      </c>
      <c r="B101" t="s">
        <v>258</v>
      </c>
      <c r="C101" t="s">
        <v>257</v>
      </c>
      <c r="D101" t="s">
        <v>256</v>
      </c>
      <c r="E101" t="s">
        <v>242</v>
      </c>
      <c r="F101" t="s">
        <v>255</v>
      </c>
      <c r="G101" t="s">
        <v>254</v>
      </c>
      <c r="H101" t="s">
        <v>240</v>
      </c>
      <c r="I101" t="s">
        <v>9</v>
      </c>
    </row>
    <row r="102" spans="1:9" x14ac:dyDescent="0.3">
      <c r="A102" t="s">
        <v>171</v>
      </c>
      <c r="B102" t="s">
        <v>251</v>
      </c>
      <c r="C102" t="s">
        <v>207</v>
      </c>
      <c r="D102" t="s">
        <v>206</v>
      </c>
      <c r="E102" t="s">
        <v>253</v>
      </c>
      <c r="F102" t="s">
        <v>252</v>
      </c>
      <c r="G102" t="s">
        <v>248</v>
      </c>
      <c r="H102" t="s">
        <v>240</v>
      </c>
      <c r="I102" t="s">
        <v>9</v>
      </c>
    </row>
    <row r="103" spans="1:9" x14ac:dyDescent="0.3">
      <c r="A103" t="s">
        <v>171</v>
      </c>
      <c r="B103" t="s">
        <v>251</v>
      </c>
      <c r="C103" t="s">
        <v>207</v>
      </c>
      <c r="D103" t="s">
        <v>206</v>
      </c>
      <c r="E103" t="s">
        <v>250</v>
      </c>
      <c r="F103" t="s">
        <v>249</v>
      </c>
      <c r="G103" t="s">
        <v>248</v>
      </c>
      <c r="H103" t="s">
        <v>240</v>
      </c>
      <c r="I103" t="s">
        <v>9</v>
      </c>
    </row>
    <row r="104" spans="1:9" x14ac:dyDescent="0.3">
      <c r="A104" t="s">
        <v>171</v>
      </c>
      <c r="B104" t="s">
        <v>247</v>
      </c>
      <c r="C104" t="s">
        <v>207</v>
      </c>
      <c r="D104" t="s">
        <v>206</v>
      </c>
      <c r="E104" t="s">
        <v>246</v>
      </c>
      <c r="F104" t="s">
        <v>245</v>
      </c>
      <c r="G104" t="s">
        <v>244</v>
      </c>
      <c r="H104" t="s">
        <v>240</v>
      </c>
      <c r="I104" t="s">
        <v>9</v>
      </c>
    </row>
    <row r="105" spans="1:9" x14ac:dyDescent="0.3">
      <c r="A105" t="s">
        <v>171</v>
      </c>
      <c r="B105" t="s">
        <v>243</v>
      </c>
      <c r="C105" t="s">
        <v>202</v>
      </c>
      <c r="D105" t="s">
        <v>201</v>
      </c>
      <c r="E105" t="s">
        <v>242</v>
      </c>
      <c r="F105" t="s">
        <v>221</v>
      </c>
      <c r="G105" t="s">
        <v>241</v>
      </c>
      <c r="H105" t="s">
        <v>240</v>
      </c>
      <c r="I105" t="s">
        <v>9</v>
      </c>
    </row>
    <row r="106" spans="1:9" x14ac:dyDescent="0.3">
      <c r="A106" t="s">
        <v>172</v>
      </c>
      <c r="B106" t="s">
        <v>239</v>
      </c>
      <c r="C106" t="s">
        <v>202</v>
      </c>
      <c r="D106" t="s">
        <v>217</v>
      </c>
      <c r="E106" t="s">
        <v>238</v>
      </c>
      <c r="F106" t="s">
        <v>237</v>
      </c>
      <c r="G106" t="s">
        <v>236</v>
      </c>
      <c r="H106" t="s">
        <v>235</v>
      </c>
      <c r="I106" t="s">
        <v>9</v>
      </c>
    </row>
    <row r="107" spans="1:9" x14ac:dyDescent="0.3">
      <c r="A107" t="s">
        <v>172</v>
      </c>
      <c r="B107" t="s">
        <v>234</v>
      </c>
      <c r="C107" t="s">
        <v>202</v>
      </c>
      <c r="D107" t="s">
        <v>233</v>
      </c>
      <c r="E107" t="s">
        <v>232</v>
      </c>
      <c r="F107" t="s">
        <v>228</v>
      </c>
      <c r="G107" t="s">
        <v>231</v>
      </c>
      <c r="H107" t="s">
        <v>226</v>
      </c>
      <c r="I107" t="s">
        <v>9</v>
      </c>
    </row>
    <row r="108" spans="1:9" x14ac:dyDescent="0.3">
      <c r="A108" t="s">
        <v>172</v>
      </c>
      <c r="B108" t="s">
        <v>230</v>
      </c>
      <c r="C108" t="s">
        <v>202</v>
      </c>
      <c r="D108" t="s">
        <v>201</v>
      </c>
      <c r="E108" t="s">
        <v>229</v>
      </c>
      <c r="F108" t="s">
        <v>228</v>
      </c>
      <c r="G108" t="s">
        <v>227</v>
      </c>
      <c r="H108" t="s">
        <v>226</v>
      </c>
      <c r="I108" t="s">
        <v>9</v>
      </c>
    </row>
    <row r="109" spans="1:9" x14ac:dyDescent="0.3">
      <c r="A109" t="s">
        <v>181</v>
      </c>
      <c r="B109" t="s">
        <v>225</v>
      </c>
      <c r="C109" t="s">
        <v>202</v>
      </c>
      <c r="D109" t="s">
        <v>201</v>
      </c>
      <c r="E109" t="s">
        <v>222</v>
      </c>
      <c r="F109" t="s">
        <v>224</v>
      </c>
      <c r="G109" t="s">
        <v>220</v>
      </c>
      <c r="H109" t="s">
        <v>219</v>
      </c>
      <c r="I109" t="s">
        <v>9</v>
      </c>
    </row>
    <row r="110" spans="1:9" x14ac:dyDescent="0.3">
      <c r="A110" t="s">
        <v>181</v>
      </c>
      <c r="B110" t="s">
        <v>223</v>
      </c>
      <c r="C110" t="s">
        <v>202</v>
      </c>
      <c r="D110" t="s">
        <v>201</v>
      </c>
      <c r="E110" t="s">
        <v>222</v>
      </c>
      <c r="F110" t="s">
        <v>221</v>
      </c>
      <c r="G110" t="s">
        <v>220</v>
      </c>
      <c r="H110" t="s">
        <v>219</v>
      </c>
      <c r="I110" t="s">
        <v>9</v>
      </c>
    </row>
    <row r="111" spans="1:9" x14ac:dyDescent="0.3">
      <c r="A111" t="s">
        <v>182</v>
      </c>
      <c r="B111" t="s">
        <v>218</v>
      </c>
      <c r="C111" t="s">
        <v>202</v>
      </c>
      <c r="D111" t="s">
        <v>217</v>
      </c>
      <c r="E111" t="s">
        <v>216</v>
      </c>
      <c r="F111" t="s">
        <v>215</v>
      </c>
      <c r="G111" t="s">
        <v>214</v>
      </c>
      <c r="H111" t="s">
        <v>213</v>
      </c>
      <c r="I111" t="s">
        <v>9</v>
      </c>
    </row>
    <row r="112" spans="1:9" x14ac:dyDescent="0.3">
      <c r="A112" t="s">
        <v>188</v>
      </c>
      <c r="B112" t="s">
        <v>212</v>
      </c>
      <c r="C112" t="s">
        <v>202</v>
      </c>
      <c r="D112" t="s">
        <v>211</v>
      </c>
      <c r="E112" t="s">
        <v>210</v>
      </c>
      <c r="F112" t="s">
        <v>199</v>
      </c>
      <c r="G112" t="s">
        <v>209</v>
      </c>
      <c r="H112" t="s">
        <v>197</v>
      </c>
      <c r="I112" t="s">
        <v>9</v>
      </c>
    </row>
    <row r="113" spans="1:9" x14ac:dyDescent="0.3">
      <c r="A113" t="s">
        <v>188</v>
      </c>
      <c r="B113" t="s">
        <v>208</v>
      </c>
      <c r="C113" t="s">
        <v>207</v>
      </c>
      <c r="D113" t="s">
        <v>206</v>
      </c>
      <c r="E113" t="s">
        <v>205</v>
      </c>
      <c r="F113" t="s">
        <v>199</v>
      </c>
      <c r="G113" t="s">
        <v>204</v>
      </c>
      <c r="H113" t="s">
        <v>197</v>
      </c>
      <c r="I113" t="s">
        <v>9</v>
      </c>
    </row>
    <row r="114" spans="1:9" x14ac:dyDescent="0.3">
      <c r="A114" t="s">
        <v>188</v>
      </c>
      <c r="B114" t="s">
        <v>203</v>
      </c>
      <c r="C114" t="s">
        <v>202</v>
      </c>
      <c r="D114" t="s">
        <v>201</v>
      </c>
      <c r="E114" t="s">
        <v>200</v>
      </c>
      <c r="F114" t="s">
        <v>199</v>
      </c>
      <c r="G114" t="s">
        <v>198</v>
      </c>
      <c r="H114" t="s">
        <v>197</v>
      </c>
      <c r="I114" t="s">
        <v>9</v>
      </c>
    </row>
    <row r="115" spans="1:9" x14ac:dyDescent="0.3">
      <c r="A115" t="s">
        <v>32</v>
      </c>
      <c r="B115" t="s">
        <v>583</v>
      </c>
      <c r="C115" t="s">
        <v>202</v>
      </c>
      <c r="D115" t="s">
        <v>201</v>
      </c>
      <c r="E115" t="s">
        <v>582</v>
      </c>
      <c r="F115" t="s">
        <v>581</v>
      </c>
      <c r="G115" t="s">
        <v>580</v>
      </c>
      <c r="H115" t="s">
        <v>579</v>
      </c>
      <c r="I115" t="s">
        <v>10</v>
      </c>
    </row>
    <row r="116" spans="1:9" x14ac:dyDescent="0.3">
      <c r="A116" t="s">
        <v>76</v>
      </c>
      <c r="B116" t="s">
        <v>559</v>
      </c>
      <c r="C116" t="s">
        <v>202</v>
      </c>
      <c r="D116" t="s">
        <v>217</v>
      </c>
      <c r="E116" t="s">
        <v>558</v>
      </c>
      <c r="F116" t="s">
        <v>557</v>
      </c>
      <c r="G116" t="s">
        <v>556</v>
      </c>
      <c r="H116" t="s">
        <v>555</v>
      </c>
      <c r="I116" t="s">
        <v>10</v>
      </c>
    </row>
    <row r="117" spans="1:9" x14ac:dyDescent="0.3">
      <c r="A117" t="s">
        <v>121</v>
      </c>
      <c r="B117" t="s">
        <v>444</v>
      </c>
      <c r="C117" t="s">
        <v>202</v>
      </c>
      <c r="D117" t="s">
        <v>201</v>
      </c>
      <c r="E117" t="s">
        <v>436</v>
      </c>
      <c r="F117" t="s">
        <v>443</v>
      </c>
      <c r="G117" t="s">
        <v>435</v>
      </c>
      <c r="H117" t="s">
        <v>434</v>
      </c>
      <c r="I117" t="s">
        <v>10</v>
      </c>
    </row>
    <row r="118" spans="1:9" x14ac:dyDescent="0.3">
      <c r="A118" t="s">
        <v>121</v>
      </c>
      <c r="B118" t="s">
        <v>437</v>
      </c>
      <c r="C118" t="s">
        <v>202</v>
      </c>
      <c r="D118" t="s">
        <v>201</v>
      </c>
      <c r="E118" t="s">
        <v>436</v>
      </c>
      <c r="F118" t="s">
        <v>221</v>
      </c>
      <c r="G118" t="s">
        <v>435</v>
      </c>
      <c r="H118" t="s">
        <v>434</v>
      </c>
      <c r="I118" t="s">
        <v>10</v>
      </c>
    </row>
    <row r="119" spans="1:9" x14ac:dyDescent="0.3">
      <c r="A119" t="s">
        <v>135</v>
      </c>
      <c r="B119" t="s">
        <v>376</v>
      </c>
      <c r="C119" t="s">
        <v>202</v>
      </c>
      <c r="D119" t="s">
        <v>217</v>
      </c>
      <c r="E119" t="s">
        <v>375</v>
      </c>
      <c r="F119" t="s">
        <v>237</v>
      </c>
      <c r="G119" t="s">
        <v>214</v>
      </c>
      <c r="H119" t="s">
        <v>374</v>
      </c>
      <c r="I119" t="s">
        <v>10</v>
      </c>
    </row>
    <row r="120" spans="1:9" x14ac:dyDescent="0.3">
      <c r="A120" t="s">
        <v>135</v>
      </c>
      <c r="B120" t="s">
        <v>373</v>
      </c>
      <c r="C120" t="s">
        <v>202</v>
      </c>
      <c r="D120" t="s">
        <v>201</v>
      </c>
      <c r="E120" t="s">
        <v>372</v>
      </c>
      <c r="F120" t="s">
        <v>371</v>
      </c>
      <c r="G120" t="s">
        <v>220</v>
      </c>
      <c r="H120" t="s">
        <v>370</v>
      </c>
      <c r="I120" t="s">
        <v>10</v>
      </c>
    </row>
    <row r="121" spans="1:9" x14ac:dyDescent="0.3">
      <c r="A121" t="s">
        <v>139</v>
      </c>
      <c r="B121" t="s">
        <v>362</v>
      </c>
      <c r="C121" t="s">
        <v>202</v>
      </c>
      <c r="D121" t="s">
        <v>201</v>
      </c>
      <c r="E121" t="s">
        <v>361</v>
      </c>
      <c r="F121" t="s">
        <v>221</v>
      </c>
      <c r="G121" t="s">
        <v>360</v>
      </c>
      <c r="H121" t="s">
        <v>359</v>
      </c>
      <c r="I121" t="s">
        <v>10</v>
      </c>
    </row>
    <row r="122" spans="1:9" x14ac:dyDescent="0.3">
      <c r="A122" t="s">
        <v>139</v>
      </c>
      <c r="B122" t="s">
        <v>358</v>
      </c>
      <c r="C122" t="s">
        <v>202</v>
      </c>
      <c r="D122" t="s">
        <v>217</v>
      </c>
      <c r="E122" t="s">
        <v>357</v>
      </c>
      <c r="F122" t="s">
        <v>221</v>
      </c>
      <c r="G122" t="s">
        <v>356</v>
      </c>
      <c r="H122" t="s">
        <v>355</v>
      </c>
      <c r="I122" t="s">
        <v>10</v>
      </c>
    </row>
  </sheetData>
  <autoFilter ref="B1:I114" xr:uid="{74407617-F846-4D08-9051-B82E7BF7C7D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7DD3-7E1D-4745-A79C-016EBC44D46B}">
  <dimension ref="A1:C104"/>
  <sheetViews>
    <sheetView workbookViewId="0">
      <selection activeCell="A12" sqref="A12"/>
    </sheetView>
  </sheetViews>
  <sheetFormatPr baseColWidth="10" defaultRowHeight="14.4" x14ac:dyDescent="0.3"/>
  <cols>
    <col min="1" max="1" width="57" bestFit="1" customWidth="1"/>
    <col min="2" max="2" width="35" bestFit="1" customWidth="1"/>
    <col min="3" max="3" width="31.88671875" bestFit="1" customWidth="1"/>
  </cols>
  <sheetData>
    <row r="1" spans="1:3" x14ac:dyDescent="0.3">
      <c r="A1" s="13" t="s">
        <v>617</v>
      </c>
      <c r="B1" s="13" t="s">
        <v>618</v>
      </c>
      <c r="C1" s="13" t="s">
        <v>619</v>
      </c>
    </row>
    <row r="2" spans="1:3" x14ac:dyDescent="0.3">
      <c r="A2" s="14" t="s">
        <v>46</v>
      </c>
      <c r="B2" s="14" t="s">
        <v>620</v>
      </c>
      <c r="C2" s="14" t="s">
        <v>621</v>
      </c>
    </row>
    <row r="3" spans="1:3" x14ac:dyDescent="0.3">
      <c r="A3" s="15" t="s">
        <v>81</v>
      </c>
      <c r="B3" s="15" t="s">
        <v>622</v>
      </c>
      <c r="C3" s="15" t="s">
        <v>623</v>
      </c>
    </row>
    <row r="4" spans="1:3" x14ac:dyDescent="0.3">
      <c r="A4" s="15" t="s">
        <v>721</v>
      </c>
      <c r="B4" s="15" t="s">
        <v>620</v>
      </c>
      <c r="C4" s="15" t="s">
        <v>621</v>
      </c>
    </row>
    <row r="5" spans="1:3" x14ac:dyDescent="0.3">
      <c r="A5" s="15" t="s">
        <v>624</v>
      </c>
      <c r="B5" s="15" t="s">
        <v>620</v>
      </c>
      <c r="C5" s="15" t="s">
        <v>621</v>
      </c>
    </row>
    <row r="6" spans="1:3" x14ac:dyDescent="0.3">
      <c r="A6" s="15" t="s">
        <v>625</v>
      </c>
      <c r="B6" s="16" t="s">
        <v>626</v>
      </c>
      <c r="C6" s="16" t="s">
        <v>627</v>
      </c>
    </row>
    <row r="7" spans="1:3" x14ac:dyDescent="0.3">
      <c r="A7" s="15" t="s">
        <v>628</v>
      </c>
      <c r="B7" s="15" t="s">
        <v>620</v>
      </c>
      <c r="C7" s="15" t="s">
        <v>621</v>
      </c>
    </row>
    <row r="8" spans="1:3" x14ac:dyDescent="0.3">
      <c r="A8" s="15" t="s">
        <v>29</v>
      </c>
      <c r="B8" s="16" t="s">
        <v>629</v>
      </c>
      <c r="C8" s="15" t="s">
        <v>630</v>
      </c>
    </row>
    <row r="9" spans="1:3" x14ac:dyDescent="0.3">
      <c r="A9" s="15" t="s">
        <v>631</v>
      </c>
      <c r="B9" s="15" t="s">
        <v>632</v>
      </c>
      <c r="C9" s="15" t="s">
        <v>633</v>
      </c>
    </row>
    <row r="10" spans="1:3" x14ac:dyDescent="0.3">
      <c r="A10" s="15" t="s">
        <v>634</v>
      </c>
      <c r="B10" s="16" t="s">
        <v>626</v>
      </c>
      <c r="C10" s="15" t="s">
        <v>627</v>
      </c>
    </row>
    <row r="11" spans="1:3" x14ac:dyDescent="0.3">
      <c r="A11" s="15" t="s">
        <v>16</v>
      </c>
      <c r="B11" s="15" t="s">
        <v>635</v>
      </c>
      <c r="C11" s="15" t="s">
        <v>621</v>
      </c>
    </row>
    <row r="12" spans="1:3" x14ac:dyDescent="0.3">
      <c r="A12" s="15" t="s">
        <v>184</v>
      </c>
      <c r="B12" s="15" t="s">
        <v>626</v>
      </c>
      <c r="C12" s="17" t="s">
        <v>627</v>
      </c>
    </row>
    <row r="13" spans="1:3" x14ac:dyDescent="0.3">
      <c r="A13" s="15" t="s">
        <v>636</v>
      </c>
      <c r="B13" s="15" t="s">
        <v>620</v>
      </c>
      <c r="C13" s="18" t="s">
        <v>621</v>
      </c>
    </row>
    <row r="14" spans="1:3" x14ac:dyDescent="0.3">
      <c r="A14" s="15" t="s">
        <v>25</v>
      </c>
      <c r="B14" s="15" t="s">
        <v>626</v>
      </c>
      <c r="C14" s="17" t="s">
        <v>627</v>
      </c>
    </row>
    <row r="15" spans="1:3" x14ac:dyDescent="0.3">
      <c r="A15" s="15" t="s">
        <v>7</v>
      </c>
      <c r="B15" s="15" t="s">
        <v>620</v>
      </c>
      <c r="C15" s="18" t="s">
        <v>621</v>
      </c>
    </row>
    <row r="16" spans="1:3" x14ac:dyDescent="0.3">
      <c r="A16" s="15" t="s">
        <v>77</v>
      </c>
      <c r="B16" s="15" t="s">
        <v>620</v>
      </c>
      <c r="C16" s="18" t="s">
        <v>621</v>
      </c>
    </row>
    <row r="17" spans="1:3" x14ac:dyDescent="0.3">
      <c r="A17" s="15" t="s">
        <v>20</v>
      </c>
      <c r="B17" s="15" t="s">
        <v>637</v>
      </c>
      <c r="C17" s="19" t="s">
        <v>638</v>
      </c>
    </row>
    <row r="18" spans="1:3" x14ac:dyDescent="0.3">
      <c r="A18" s="15" t="s">
        <v>639</v>
      </c>
      <c r="B18" s="15" t="s">
        <v>620</v>
      </c>
      <c r="C18" s="18" t="s">
        <v>621</v>
      </c>
    </row>
    <row r="19" spans="1:3" x14ac:dyDescent="0.3">
      <c r="A19" s="15" t="s">
        <v>135</v>
      </c>
      <c r="B19" s="15" t="s">
        <v>640</v>
      </c>
      <c r="C19" s="18" t="s">
        <v>641</v>
      </c>
    </row>
    <row r="20" spans="1:3" x14ac:dyDescent="0.3">
      <c r="A20" s="15" t="s">
        <v>49</v>
      </c>
      <c r="B20" s="15" t="s">
        <v>642</v>
      </c>
      <c r="C20" s="20" t="s">
        <v>643</v>
      </c>
    </row>
    <row r="21" spans="1:3" x14ac:dyDescent="0.3">
      <c r="A21" s="15" t="s">
        <v>158</v>
      </c>
      <c r="B21" s="15" t="s">
        <v>620</v>
      </c>
      <c r="C21" s="21" t="s">
        <v>621</v>
      </c>
    </row>
    <row r="22" spans="1:3" x14ac:dyDescent="0.3">
      <c r="A22" s="15" t="s">
        <v>159</v>
      </c>
      <c r="B22" s="15" t="s">
        <v>620</v>
      </c>
      <c r="C22" s="21" t="s">
        <v>621</v>
      </c>
    </row>
    <row r="23" spans="1:3" x14ac:dyDescent="0.3">
      <c r="A23" s="15" t="s">
        <v>122</v>
      </c>
      <c r="B23" s="15" t="s">
        <v>620</v>
      </c>
      <c r="C23" s="21" t="s">
        <v>621</v>
      </c>
    </row>
    <row r="24" spans="1:3" x14ac:dyDescent="0.3">
      <c r="A24" s="15" t="s">
        <v>79</v>
      </c>
      <c r="B24" s="15" t="s">
        <v>626</v>
      </c>
      <c r="C24" s="19" t="s">
        <v>627</v>
      </c>
    </row>
    <row r="25" spans="1:3" x14ac:dyDescent="0.3">
      <c r="A25" s="15" t="s">
        <v>97</v>
      </c>
      <c r="B25" s="15" t="s">
        <v>644</v>
      </c>
      <c r="C25" s="22" t="s">
        <v>645</v>
      </c>
    </row>
    <row r="26" spans="1:3" x14ac:dyDescent="0.3">
      <c r="A26" s="15" t="s">
        <v>172</v>
      </c>
      <c r="B26" s="15" t="s">
        <v>620</v>
      </c>
      <c r="C26" s="21" t="s">
        <v>621</v>
      </c>
    </row>
    <row r="27" spans="1:3" x14ac:dyDescent="0.3">
      <c r="A27" s="15" t="s">
        <v>103</v>
      </c>
      <c r="B27" s="15" t="s">
        <v>646</v>
      </c>
      <c r="C27" s="20" t="s">
        <v>647</v>
      </c>
    </row>
    <row r="28" spans="1:3" x14ac:dyDescent="0.3">
      <c r="A28" s="15" t="s">
        <v>33</v>
      </c>
      <c r="B28" s="15" t="s">
        <v>640</v>
      </c>
      <c r="C28" s="21" t="s">
        <v>648</v>
      </c>
    </row>
    <row r="29" spans="1:3" x14ac:dyDescent="0.3">
      <c r="A29" s="15" t="s">
        <v>95</v>
      </c>
      <c r="B29" s="15" t="s">
        <v>620</v>
      </c>
      <c r="C29" s="21" t="s">
        <v>621</v>
      </c>
    </row>
    <row r="30" spans="1:3" x14ac:dyDescent="0.3">
      <c r="A30" s="15" t="s">
        <v>146</v>
      </c>
      <c r="B30" s="15" t="s">
        <v>620</v>
      </c>
      <c r="C30" s="21" t="s">
        <v>621</v>
      </c>
    </row>
    <row r="31" spans="1:3" x14ac:dyDescent="0.3">
      <c r="A31" s="15" t="s">
        <v>152</v>
      </c>
      <c r="B31" s="15" t="s">
        <v>620</v>
      </c>
      <c r="C31" s="21" t="s">
        <v>621</v>
      </c>
    </row>
    <row r="32" spans="1:3" x14ac:dyDescent="0.3">
      <c r="A32" s="15" t="s">
        <v>144</v>
      </c>
      <c r="B32" s="15" t="s">
        <v>649</v>
      </c>
      <c r="C32" s="17" t="s">
        <v>650</v>
      </c>
    </row>
    <row r="33" spans="1:3" x14ac:dyDescent="0.3">
      <c r="A33" s="15" t="s">
        <v>88</v>
      </c>
      <c r="B33" s="15" t="s">
        <v>651</v>
      </c>
      <c r="C33" s="21" t="s">
        <v>652</v>
      </c>
    </row>
    <row r="34" spans="1:3" x14ac:dyDescent="0.3">
      <c r="A34" s="15" t="s">
        <v>653</v>
      </c>
      <c r="B34" s="15" t="s">
        <v>620</v>
      </c>
      <c r="C34" s="21" t="s">
        <v>621</v>
      </c>
    </row>
    <row r="35" spans="1:3" x14ac:dyDescent="0.3">
      <c r="A35" s="15" t="s">
        <v>84</v>
      </c>
      <c r="B35" s="15" t="s">
        <v>654</v>
      </c>
      <c r="C35" s="19" t="s">
        <v>655</v>
      </c>
    </row>
    <row r="36" spans="1:3" x14ac:dyDescent="0.3">
      <c r="A36" s="15" t="s">
        <v>47</v>
      </c>
      <c r="B36" s="15" t="s">
        <v>656</v>
      </c>
      <c r="C36" s="19" t="s">
        <v>657</v>
      </c>
    </row>
    <row r="37" spans="1:3" x14ac:dyDescent="0.3">
      <c r="A37" s="15" t="s">
        <v>148</v>
      </c>
      <c r="B37" s="15" t="s">
        <v>620</v>
      </c>
      <c r="C37" s="21" t="s">
        <v>621</v>
      </c>
    </row>
    <row r="38" spans="1:3" x14ac:dyDescent="0.3">
      <c r="A38" s="15" t="s">
        <v>90</v>
      </c>
      <c r="B38" s="15" t="s">
        <v>658</v>
      </c>
      <c r="C38" s="19" t="s">
        <v>659</v>
      </c>
    </row>
    <row r="39" spans="1:3" x14ac:dyDescent="0.3">
      <c r="A39" s="15" t="s">
        <v>101</v>
      </c>
      <c r="B39" s="15" t="s">
        <v>620</v>
      </c>
      <c r="C39" s="21" t="s">
        <v>621</v>
      </c>
    </row>
    <row r="40" spans="1:3" x14ac:dyDescent="0.3">
      <c r="A40" s="15" t="s">
        <v>176</v>
      </c>
      <c r="B40" s="15" t="s">
        <v>660</v>
      </c>
      <c r="C40" s="21" t="s">
        <v>661</v>
      </c>
    </row>
    <row r="41" spans="1:3" x14ac:dyDescent="0.3">
      <c r="A41" s="15" t="s">
        <v>165</v>
      </c>
      <c r="B41" s="15" t="s">
        <v>662</v>
      </c>
      <c r="C41" s="23" t="s">
        <v>663</v>
      </c>
    </row>
    <row r="42" spans="1:3" x14ac:dyDescent="0.3">
      <c r="A42" s="15" t="s">
        <v>67</v>
      </c>
      <c r="B42" s="15" t="s">
        <v>664</v>
      </c>
      <c r="C42" s="20" t="s">
        <v>665</v>
      </c>
    </row>
    <row r="43" spans="1:3" x14ac:dyDescent="0.3">
      <c r="A43" s="14" t="s">
        <v>169</v>
      </c>
      <c r="B43" s="15" t="s">
        <v>620</v>
      </c>
      <c r="C43" s="15" t="s">
        <v>621</v>
      </c>
    </row>
    <row r="44" spans="1:3" x14ac:dyDescent="0.3">
      <c r="A44" s="14" t="s">
        <v>54</v>
      </c>
      <c r="B44" s="15" t="s">
        <v>620</v>
      </c>
      <c r="C44" s="15" t="s">
        <v>621</v>
      </c>
    </row>
    <row r="45" spans="1:3" x14ac:dyDescent="0.3">
      <c r="A45" s="14" t="s">
        <v>115</v>
      </c>
      <c r="B45" s="15" t="s">
        <v>620</v>
      </c>
      <c r="C45" s="15" t="s">
        <v>621</v>
      </c>
    </row>
    <row r="46" spans="1:3" x14ac:dyDescent="0.3">
      <c r="A46" s="14" t="s">
        <v>43</v>
      </c>
      <c r="B46" s="15" t="s">
        <v>620</v>
      </c>
      <c r="C46" s="15" t="s">
        <v>621</v>
      </c>
    </row>
    <row r="47" spans="1:3" x14ac:dyDescent="0.3">
      <c r="A47" s="14" t="s">
        <v>74</v>
      </c>
      <c r="B47" s="15" t="s">
        <v>626</v>
      </c>
      <c r="C47" s="15" t="s">
        <v>627</v>
      </c>
    </row>
    <row r="48" spans="1:3" x14ac:dyDescent="0.3">
      <c r="A48" s="14" t="s">
        <v>666</v>
      </c>
      <c r="B48" s="15" t="s">
        <v>626</v>
      </c>
      <c r="C48" s="15" t="s">
        <v>627</v>
      </c>
    </row>
    <row r="49" spans="1:3" x14ac:dyDescent="0.3">
      <c r="A49" s="14" t="s">
        <v>112</v>
      </c>
      <c r="B49" s="15" t="s">
        <v>640</v>
      </c>
      <c r="C49" s="15" t="s">
        <v>667</v>
      </c>
    </row>
    <row r="50" spans="1:3" x14ac:dyDescent="0.3">
      <c r="A50" s="14" t="s">
        <v>668</v>
      </c>
      <c r="B50" s="15" t="s">
        <v>669</v>
      </c>
      <c r="C50" s="15" t="s">
        <v>670</v>
      </c>
    </row>
    <row r="51" spans="1:3" x14ac:dyDescent="0.3">
      <c r="A51" s="14" t="s">
        <v>41</v>
      </c>
      <c r="B51" s="15" t="s">
        <v>671</v>
      </c>
      <c r="C51" s="15" t="s">
        <v>672</v>
      </c>
    </row>
    <row r="52" spans="1:3" x14ac:dyDescent="0.3">
      <c r="A52" s="14" t="s">
        <v>52</v>
      </c>
      <c r="B52" s="15" t="s">
        <v>626</v>
      </c>
      <c r="C52" s="15" t="s">
        <v>627</v>
      </c>
    </row>
    <row r="53" spans="1:3" x14ac:dyDescent="0.3">
      <c r="A53" s="14" t="s">
        <v>63</v>
      </c>
      <c r="B53" s="15" t="s">
        <v>673</v>
      </c>
      <c r="C53" s="15" t="s">
        <v>674</v>
      </c>
    </row>
    <row r="54" spans="1:3" x14ac:dyDescent="0.3">
      <c r="A54" s="14" t="s">
        <v>56</v>
      </c>
      <c r="B54" s="15" t="s">
        <v>620</v>
      </c>
      <c r="C54" s="15" t="s">
        <v>621</v>
      </c>
    </row>
    <row r="55" spans="1:3" x14ac:dyDescent="0.3">
      <c r="A55" s="14" t="s">
        <v>59</v>
      </c>
      <c r="B55" s="15" t="s">
        <v>620</v>
      </c>
      <c r="C55" s="15" t="s">
        <v>621</v>
      </c>
    </row>
    <row r="56" spans="1:3" x14ac:dyDescent="0.3">
      <c r="A56" s="14" t="s">
        <v>675</v>
      </c>
      <c r="B56" s="15" t="s">
        <v>676</v>
      </c>
      <c r="C56" s="15" t="s">
        <v>677</v>
      </c>
    </row>
    <row r="57" spans="1:3" x14ac:dyDescent="0.3">
      <c r="A57" s="14" t="s">
        <v>678</v>
      </c>
      <c r="B57" s="15" t="s">
        <v>637</v>
      </c>
      <c r="C57" s="15" t="s">
        <v>679</v>
      </c>
    </row>
    <row r="58" spans="1:3" x14ac:dyDescent="0.3">
      <c r="A58" s="14" t="s">
        <v>39</v>
      </c>
      <c r="B58" s="15" t="s">
        <v>680</v>
      </c>
      <c r="C58" s="15" t="s">
        <v>681</v>
      </c>
    </row>
    <row r="59" spans="1:3" x14ac:dyDescent="0.3">
      <c r="A59" s="14" t="s">
        <v>174</v>
      </c>
      <c r="B59" s="15" t="s">
        <v>620</v>
      </c>
      <c r="C59" s="15" t="s">
        <v>621</v>
      </c>
    </row>
    <row r="60" spans="1:3" x14ac:dyDescent="0.3">
      <c r="A60" s="14" t="s">
        <v>178</v>
      </c>
      <c r="B60" s="15" t="s">
        <v>620</v>
      </c>
      <c r="C60" s="15" t="s">
        <v>621</v>
      </c>
    </row>
    <row r="61" spans="1:3" x14ac:dyDescent="0.3">
      <c r="A61" s="14" t="s">
        <v>682</v>
      </c>
      <c r="B61" s="15" t="s">
        <v>620</v>
      </c>
      <c r="C61" s="15" t="s">
        <v>621</v>
      </c>
    </row>
    <row r="62" spans="1:3" x14ac:dyDescent="0.3">
      <c r="A62" s="14" t="s">
        <v>683</v>
      </c>
      <c r="B62" s="15" t="s">
        <v>620</v>
      </c>
      <c r="C62" s="15" t="s">
        <v>621</v>
      </c>
    </row>
    <row r="63" spans="1:3" x14ac:dyDescent="0.3">
      <c r="A63" s="14" t="s">
        <v>139</v>
      </c>
      <c r="B63" s="15" t="s">
        <v>620</v>
      </c>
      <c r="C63" s="15" t="s">
        <v>621</v>
      </c>
    </row>
    <row r="64" spans="1:3" x14ac:dyDescent="0.3">
      <c r="A64" s="14" t="s">
        <v>14</v>
      </c>
      <c r="B64" s="15" t="s">
        <v>684</v>
      </c>
      <c r="C64" s="15" t="s">
        <v>685</v>
      </c>
    </row>
    <row r="65" spans="1:3" x14ac:dyDescent="0.3">
      <c r="A65" s="14" t="s">
        <v>124</v>
      </c>
      <c r="B65" s="15" t="s">
        <v>620</v>
      </c>
      <c r="C65" s="15" t="s">
        <v>621</v>
      </c>
    </row>
    <row r="66" spans="1:3" x14ac:dyDescent="0.3">
      <c r="A66" s="14" t="s">
        <v>92</v>
      </c>
      <c r="B66" s="15" t="s">
        <v>620</v>
      </c>
      <c r="C66" s="15" t="s">
        <v>621</v>
      </c>
    </row>
    <row r="67" spans="1:3" x14ac:dyDescent="0.3">
      <c r="A67" s="14" t="s">
        <v>132</v>
      </c>
      <c r="B67" s="15" t="s">
        <v>686</v>
      </c>
      <c r="C67" s="15" t="s">
        <v>687</v>
      </c>
    </row>
    <row r="68" spans="1:3" x14ac:dyDescent="0.3">
      <c r="A68" s="14" t="s">
        <v>688</v>
      </c>
      <c r="B68" s="15" t="s">
        <v>689</v>
      </c>
      <c r="C68" s="15" t="s">
        <v>690</v>
      </c>
    </row>
    <row r="69" spans="1:3" x14ac:dyDescent="0.3">
      <c r="A69" s="14" t="s">
        <v>111</v>
      </c>
      <c r="B69" s="15" t="s">
        <v>691</v>
      </c>
      <c r="C69" s="15" t="s">
        <v>692</v>
      </c>
    </row>
    <row r="70" spans="1:3" x14ac:dyDescent="0.3">
      <c r="A70" s="24" t="s">
        <v>693</v>
      </c>
      <c r="B70" s="25" t="s">
        <v>694</v>
      </c>
      <c r="C70" s="25" t="s">
        <v>694</v>
      </c>
    </row>
    <row r="71" spans="1:3" x14ac:dyDescent="0.3">
      <c r="A71" s="14" t="s">
        <v>695</v>
      </c>
      <c r="B71" s="15" t="s">
        <v>660</v>
      </c>
      <c r="C71" s="15" t="s">
        <v>696</v>
      </c>
    </row>
    <row r="72" spans="1:3" x14ac:dyDescent="0.3">
      <c r="A72" s="14" t="s">
        <v>128</v>
      </c>
      <c r="B72" s="15" t="s">
        <v>620</v>
      </c>
      <c r="C72" s="15" t="s">
        <v>621</v>
      </c>
    </row>
    <row r="73" spans="1:3" x14ac:dyDescent="0.3">
      <c r="A73" s="14" t="s">
        <v>143</v>
      </c>
      <c r="B73" s="15" t="s">
        <v>697</v>
      </c>
      <c r="C73" s="15" t="s">
        <v>698</v>
      </c>
    </row>
    <row r="74" spans="1:3" x14ac:dyDescent="0.3">
      <c r="A74" s="14" t="s">
        <v>163</v>
      </c>
      <c r="B74" s="15" t="s">
        <v>632</v>
      </c>
      <c r="C74" s="15" t="s">
        <v>699</v>
      </c>
    </row>
    <row r="75" spans="1:3" x14ac:dyDescent="0.3">
      <c r="A75" s="14" t="s">
        <v>171</v>
      </c>
      <c r="B75" s="15" t="s">
        <v>700</v>
      </c>
      <c r="C75" s="15" t="s">
        <v>701</v>
      </c>
    </row>
    <row r="76" spans="1:3" x14ac:dyDescent="0.3">
      <c r="A76" s="14" t="s">
        <v>94</v>
      </c>
      <c r="B76" s="15" t="s">
        <v>626</v>
      </c>
      <c r="C76" s="21" t="s">
        <v>627</v>
      </c>
    </row>
    <row r="77" spans="1:3" x14ac:dyDescent="0.3">
      <c r="A77" s="14" t="s">
        <v>150</v>
      </c>
      <c r="B77" s="15" t="s">
        <v>702</v>
      </c>
      <c r="C77" s="20" t="s">
        <v>703</v>
      </c>
    </row>
    <row r="78" spans="1:3" x14ac:dyDescent="0.3">
      <c r="A78" s="14" t="s">
        <v>704</v>
      </c>
      <c r="B78" s="15" t="s">
        <v>620</v>
      </c>
      <c r="C78" s="22" t="s">
        <v>621</v>
      </c>
    </row>
    <row r="79" spans="1:3" x14ac:dyDescent="0.3">
      <c r="A79" s="14" t="s">
        <v>705</v>
      </c>
      <c r="B79" s="15" t="s">
        <v>620</v>
      </c>
      <c r="C79" s="22" t="s">
        <v>621</v>
      </c>
    </row>
    <row r="80" spans="1:3" x14ac:dyDescent="0.3">
      <c r="A80" s="14" t="s">
        <v>65</v>
      </c>
      <c r="B80" s="15" t="s">
        <v>620</v>
      </c>
      <c r="C80" s="22" t="s">
        <v>621</v>
      </c>
    </row>
    <row r="81" spans="1:3" x14ac:dyDescent="0.3">
      <c r="A81" s="14" t="s">
        <v>154</v>
      </c>
      <c r="B81" s="15" t="s">
        <v>620</v>
      </c>
      <c r="C81" s="22" t="s">
        <v>621</v>
      </c>
    </row>
    <row r="82" spans="1:3" x14ac:dyDescent="0.3">
      <c r="A82" s="14" t="s">
        <v>109</v>
      </c>
      <c r="B82" s="15" t="s">
        <v>620</v>
      </c>
      <c r="C82" s="22" t="s">
        <v>621</v>
      </c>
    </row>
    <row r="83" spans="1:3" x14ac:dyDescent="0.3">
      <c r="A83" s="14" t="s">
        <v>28</v>
      </c>
      <c r="B83" s="15" t="s">
        <v>620</v>
      </c>
      <c r="C83" s="22" t="s">
        <v>621</v>
      </c>
    </row>
    <row r="84" spans="1:3" x14ac:dyDescent="0.3">
      <c r="A84" s="14" t="s">
        <v>141</v>
      </c>
      <c r="B84" s="15" t="s">
        <v>620</v>
      </c>
      <c r="C84" s="22" t="s">
        <v>621</v>
      </c>
    </row>
    <row r="85" spans="1:3" x14ac:dyDescent="0.3">
      <c r="A85" s="14" t="s">
        <v>114</v>
      </c>
      <c r="B85" s="15" t="s">
        <v>626</v>
      </c>
      <c r="C85" s="21" t="s">
        <v>627</v>
      </c>
    </row>
    <row r="86" spans="1:3" x14ac:dyDescent="0.3">
      <c r="A86" s="14" t="s">
        <v>130</v>
      </c>
      <c r="B86" s="15" t="s">
        <v>626</v>
      </c>
      <c r="C86" s="21" t="s">
        <v>627</v>
      </c>
    </row>
    <row r="87" spans="1:3" x14ac:dyDescent="0.3">
      <c r="A87" s="26" t="s">
        <v>27</v>
      </c>
      <c r="B87" s="15" t="s">
        <v>706</v>
      </c>
      <c r="C87" s="19" t="s">
        <v>707</v>
      </c>
    </row>
    <row r="88" spans="1:3" x14ac:dyDescent="0.3">
      <c r="A88" s="14" t="s">
        <v>18</v>
      </c>
      <c r="B88" s="15" t="s">
        <v>620</v>
      </c>
      <c r="C88" s="22" t="s">
        <v>621</v>
      </c>
    </row>
    <row r="89" spans="1:3" x14ac:dyDescent="0.3">
      <c r="A89" s="14" t="s">
        <v>105</v>
      </c>
      <c r="B89" s="15" t="s">
        <v>649</v>
      </c>
      <c r="C89" s="17" t="s">
        <v>650</v>
      </c>
    </row>
    <row r="90" spans="1:3" x14ac:dyDescent="0.3">
      <c r="A90" s="14" t="s">
        <v>106</v>
      </c>
      <c r="B90" s="15" t="s">
        <v>620</v>
      </c>
      <c r="C90" s="22" t="s">
        <v>621</v>
      </c>
    </row>
    <row r="91" spans="1:3" x14ac:dyDescent="0.3">
      <c r="A91" s="14" t="s">
        <v>708</v>
      </c>
      <c r="B91" s="15" t="s">
        <v>620</v>
      </c>
      <c r="C91" s="22" t="s">
        <v>621</v>
      </c>
    </row>
    <row r="92" spans="1:3" x14ac:dyDescent="0.3">
      <c r="A92" s="14" t="s">
        <v>138</v>
      </c>
      <c r="B92" s="15" t="s">
        <v>620</v>
      </c>
      <c r="C92" s="22" t="s">
        <v>621</v>
      </c>
    </row>
    <row r="93" spans="1:3" x14ac:dyDescent="0.3">
      <c r="A93" s="14" t="s">
        <v>189</v>
      </c>
      <c r="B93" s="15" t="s">
        <v>620</v>
      </c>
      <c r="C93" s="22" t="s">
        <v>621</v>
      </c>
    </row>
    <row r="94" spans="1:3" x14ac:dyDescent="0.3">
      <c r="A94" s="14" t="s">
        <v>168</v>
      </c>
      <c r="B94" s="15" t="s">
        <v>620</v>
      </c>
      <c r="C94" s="22" t="s">
        <v>621</v>
      </c>
    </row>
    <row r="95" spans="1:3" x14ac:dyDescent="0.3">
      <c r="A95" s="14" t="s">
        <v>38</v>
      </c>
      <c r="B95" s="15" t="s">
        <v>644</v>
      </c>
      <c r="C95" s="27" t="s">
        <v>709</v>
      </c>
    </row>
    <row r="96" spans="1:3" x14ac:dyDescent="0.3">
      <c r="A96" s="14" t="s">
        <v>32</v>
      </c>
      <c r="B96" s="15" t="s">
        <v>640</v>
      </c>
      <c r="C96" s="20" t="s">
        <v>710</v>
      </c>
    </row>
    <row r="97" spans="1:3" x14ac:dyDescent="0.3">
      <c r="A97" s="14" t="s">
        <v>711</v>
      </c>
      <c r="B97" s="15" t="s">
        <v>626</v>
      </c>
      <c r="C97" s="21" t="s">
        <v>627</v>
      </c>
    </row>
    <row r="98" spans="1:3" x14ac:dyDescent="0.3">
      <c r="A98" s="14" t="s">
        <v>117</v>
      </c>
      <c r="B98" s="15" t="s">
        <v>626</v>
      </c>
      <c r="C98" s="21" t="s">
        <v>627</v>
      </c>
    </row>
    <row r="99" spans="1:3" x14ac:dyDescent="0.3">
      <c r="A99" s="14" t="s">
        <v>712</v>
      </c>
      <c r="B99" s="15" t="s">
        <v>620</v>
      </c>
      <c r="C99" s="20" t="s">
        <v>621</v>
      </c>
    </row>
    <row r="100" spans="1:3" x14ac:dyDescent="0.3">
      <c r="A100" s="14" t="s">
        <v>137</v>
      </c>
      <c r="B100" s="15" t="s">
        <v>626</v>
      </c>
      <c r="C100" s="21" t="s">
        <v>627</v>
      </c>
    </row>
    <row r="101" spans="1:3" x14ac:dyDescent="0.3">
      <c r="A101" s="14" t="s">
        <v>713</v>
      </c>
      <c r="B101" s="15" t="s">
        <v>620</v>
      </c>
      <c r="C101" s="20" t="s">
        <v>621</v>
      </c>
    </row>
    <row r="102" spans="1:3" x14ac:dyDescent="0.3">
      <c r="A102" s="14" t="s">
        <v>714</v>
      </c>
      <c r="B102" s="15" t="s">
        <v>715</v>
      </c>
      <c r="C102" s="28" t="s">
        <v>716</v>
      </c>
    </row>
    <row r="103" spans="1:3" x14ac:dyDescent="0.3">
      <c r="A103" s="14" t="s">
        <v>119</v>
      </c>
      <c r="B103" s="15" t="s">
        <v>717</v>
      </c>
      <c r="C103" s="15" t="s">
        <v>718</v>
      </c>
    </row>
    <row r="104" spans="1:3" x14ac:dyDescent="0.3">
      <c r="A104" s="14" t="s">
        <v>126</v>
      </c>
      <c r="B104" s="15" t="s">
        <v>719</v>
      </c>
      <c r="C104" s="15" t="s">
        <v>720</v>
      </c>
    </row>
  </sheetData>
  <autoFilter ref="A1:C104" xr:uid="{0C737DD3-7E1D-4745-A79C-016EBC44D46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Enterprise-Plans-Product-APN</vt:lpstr>
      <vt:lpstr>Rule Engine</vt:lpstr>
      <vt:lpstr>Hoja1</vt:lpstr>
    </vt:vector>
  </TitlesOfParts>
  <Company>AMX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Bustamante</dc:creator>
  <cp:lastModifiedBy>Agustin Mercado</cp:lastModifiedBy>
  <dcterms:created xsi:type="dcterms:W3CDTF">2024-12-13T18:29:29Z</dcterms:created>
  <dcterms:modified xsi:type="dcterms:W3CDTF">2025-01-03T15:45:33Z</dcterms:modified>
</cp:coreProperties>
</file>